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e9efe05a2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CRM Data" sheetId="1" r:id="R9a27c06a121c4952"/>
    <x:sheet xmlns:r="http://schemas.openxmlformats.org/officeDocument/2006/relationships" name="Cleaned CRM Data" sheetId="2" r:id="R80e298b54813487a"/>
    <x:sheet xmlns:r="http://schemas.openxmlformats.org/officeDocument/2006/relationships" name="Dashboard" sheetId="3" r:id="R98c89c6d6a60471a"/>
    <x:sheet xmlns:r="http://schemas.openxmlformats.org/officeDocument/2006/relationships" name="Data Dictionary" sheetId="4" r:id="R5df8e5c78882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26D82"/>
      </x:patternFill>
    </x:fill>
    <x:fill>
      <x:patternFill patternType="solid">
        <x:fgColor rgb="FF7A8F7B"/>
      </x:patternFill>
    </x:fill>
    <x:fill>
      <x:patternFill patternType="solid">
        <x:fgColor rgb="FFF3F0E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1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eeeace7e44274" /><Relationship Type="http://schemas.openxmlformats.org/officeDocument/2006/relationships/theme" Target="/xl/theme/theme1.xml" Id="R304a284cc9e64538" /><Relationship Type="http://schemas.openxmlformats.org/officeDocument/2006/relationships/sharedStrings" Target="/xl/sharedStrings.xml" Id="Rccdadf47258e42b1" /><Relationship Type="http://schemas.openxmlformats.org/officeDocument/2006/relationships/worksheet" Target="/xl/worksheets/sheet1.xml" Id="R9a27c06a121c4952" /><Relationship Type="http://schemas.openxmlformats.org/officeDocument/2006/relationships/worksheet" Target="/xl/worksheets/sheet2.xml" Id="R80e298b54813487a" /><Relationship Type="http://schemas.openxmlformats.org/officeDocument/2006/relationships/worksheet" Target="/xl/worksheets/sheet3.xml" Id="R98c89c6d6a60471a" /><Relationship Type="http://schemas.openxmlformats.org/officeDocument/2006/relationships/worksheet" Target="/xl/worksheets/sheet4.xml" Id="R5df8e5c788824f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aa36f1a98142a7" /><Relationship Type="http://schemas.openxmlformats.org/officeDocument/2006/relationships/chart" Target="/xl/drawings/charts/chart2.xml" Id="R9614210715fb4d84" /><Relationship Type="http://schemas.openxmlformats.org/officeDocument/2006/relationships/chart" Target="/xl/drawings/charts/chart3.xml" Id="Rab014be8cbb64c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Source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Pipeline by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'Dashboard'!$D$9:$D$14</c:f>
              <c:strCache>
                <c:ptCount val="0"/>
              </c:strCache>
            </c:strRef>
          </c:cat>
          <c:val>
            <c:numRef>
              <c:f>'Dashboard'!$E$9:$E$14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CRM Data Quality Issues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'Dashboard'!$G$9:$G$14</c:f>
              <c:strCache>
                <c:ptCount val="0"/>
              </c:strCache>
            </c:strRef>
          </c:cat>
          <c:val>
            <c:numRef>
              <c:f>'Dashboard'!$H$9:$H$14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aa36f1a98142a7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4210715fb4d84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014be8cbb64c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CRM" displayName="RawCRM" ref="A1:R401" headerRowCount="1" totalsRowCount="0" totalsRowShown="0">
  <x:tableColumns count="18">
    <x:tableColumn id="1" name="Lead_ID"/>
    <x:tableColumn id="2" name="First_Name"/>
    <x:tableColumn id="3" name="Last_Name"/>
    <x:tableColumn id="4" name="Company"/>
    <x:tableColumn id="5" name="Email"/>
    <x:tableColumn id="6" name="Phone"/>
    <x:tableColumn id="7" name="State"/>
    <x:tableColumn id="8" name="Lead_Source"/>
    <x:tableColumn id="9" name="Sales_Stage"/>
    <x:tableColumn id="10" name="Lead_Owner"/>
    <x:tableColumn id="11" name="Created_Date"/>
    <x:tableColumn id="12" name="Last_Contact_Date"/>
    <x:tableColumn id="13" name="Next_Followup_Date"/>
    <x:tableColumn id="14" name="Estimated_Value"/>
    <x:tableColumn id="15" name="Industry"/>
    <x:tableColumn id="16" name="Qualified"/>
    <x:tableColumn id="17" name="Converted"/>
    <x:tableColumn id="18" name="Close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CRM" displayName="CleanCRM" ref="A1:Y401" headerRowCount="1" totalsRowCount="0" totalsRowShown="0">
  <x:tableColumns count="25">
    <x:tableColumn id="1" name="Lead_ID"/>
    <x:tableColumn id="2" name="First_Name"/>
    <x:tableColumn id="3" name="Last_Name"/>
    <x:tableColumn id="4" name="Company"/>
    <x:tableColumn id="5" name="Email"/>
    <x:tableColumn id="6" name="Phone"/>
    <x:tableColumn id="7" name="State"/>
    <x:tableColumn id="8" name="Lead_Source"/>
    <x:tableColumn id="9" name="Sales_Stage"/>
    <x:tableColumn id="10" name="Lead_Owner"/>
    <x:tableColumn id="11" name="Created_Date"/>
    <x:tableColumn id="12" name="Last_Contact_Date"/>
    <x:tableColumn id="13" name="Next_Followup_Date"/>
    <x:tableColumn id="14" name="Estimated_Value"/>
    <x:tableColumn id="15" name="Industry"/>
    <x:tableColumn id="16" name="Qualified"/>
    <x:tableColumn id="17" name="Converted"/>
    <x:tableColumn id="18" name="Closed_Date"/>
    <x:tableColumn id="19" name="Duplicate_Flag"/>
    <x:tableColumn id="20" name="Missing_Owner"/>
    <x:tableColumn id="21" name="Missing_Contact_Info"/>
    <x:tableColumn id="22" name="Stale_Lead"/>
    <x:tableColumn id="23" name="Overdue_Followup"/>
    <x:tableColumn id="24" name="Data_Quality_Issue"/>
    <x:tableColumn id="25" name="Primary_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9e74eebec841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c2298560d2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042ea1bdbe84097" /></Relationships>
</file>

<file path=xl/worksheets/sheet1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1.75" hidden="0" customWidth="1"/>
    <x:col min="3" max="3" width="11.5" hidden="0" customWidth="1"/>
    <x:col min="4" max="4" width="18.6299991607666" hidden="0" customWidth="1"/>
    <x:col min="5" max="5" width="32" hidden="0" customWidth="1"/>
    <x:col min="6" max="6" width="11.880000114440918" hidden="0" customWidth="1"/>
    <x:col min="7" max="7" width="7" hidden="0" customWidth="1"/>
    <x:col min="8" max="8" width="12.75" hidden="0" customWidth="1"/>
    <x:col min="9" max="9" width="12" hidden="0" customWidth="1"/>
    <x:col min="10" max="10" width="13.630000114440918" hidden="0" customWidth="1"/>
    <x:col min="11" max="11" width="13.5" hidden="0" customWidth="1"/>
    <x:col min="12" max="12" width="17.3799991607666" hidden="0" customWidth="1"/>
    <x:col min="13" max="13" width="19" hidden="0" customWidth="1"/>
    <x:col min="14" max="14" width="15.75" hidden="0" customWidth="1"/>
    <x:col min="15" max="15" width="16" hidden="0" customWidth="1"/>
    <x:col min="16" max="16" width="10" hidden="0" customWidth="1"/>
    <x:col min="17" max="17" width="10.880000114440918" hidden="0" customWidth="1"/>
    <x:col min="18" max="18" width="12.630000114440918" hidden="0" customWidth="1"/>
  </x:cols>
  <x:sheetData>
    <x:row r="1">
      <x:c r="A1" s="3" t="str">
        <x:v>Lead_ID</x:v>
      </x:c>
      <x:c r="B1" s="3" t="str">
        <x:v>First_Name</x:v>
      </x:c>
      <x:c r="C1" s="3" t="str">
        <x:v>Last_Name</x:v>
      </x:c>
      <x:c r="D1" s="3" t="str">
        <x:v>Company</x:v>
      </x:c>
      <x:c r="E1" s="3" t="str">
        <x:v>Email</x:v>
      </x:c>
      <x:c r="F1" s="3" t="str">
        <x:v>Phone</x:v>
      </x:c>
      <x:c r="G1" s="3" t="str">
        <x:v>State</x:v>
      </x:c>
      <x:c r="H1" s="3" t="str">
        <x:v>Lead_Source</x:v>
      </x:c>
      <x:c r="I1" s="3" t="str">
        <x:v>Sales_Stage</x:v>
      </x:c>
      <x:c r="J1" s="3" t="str">
        <x:v>Lead_Owner</x:v>
      </x:c>
      <x:c r="K1" s="3" t="str">
        <x:v>Created_Date</x:v>
      </x:c>
      <x:c r="L1" s="3" t="str">
        <x:v>Last_Contact_Date</x:v>
      </x:c>
      <x:c r="M1" s="3" t="str">
        <x:v>Next_Followup_Date</x:v>
      </x:c>
      <x:c r="N1" s="3" t="str">
        <x:v>Estimated_Value</x:v>
      </x:c>
      <x:c r="O1" s="3" t="str">
        <x:v>Industry</x:v>
      </x:c>
      <x:c r="P1" s="3" t="str">
        <x:v>Qualified</x:v>
      </x:c>
      <x:c r="Q1" s="3" t="str">
        <x:v>Converted</x:v>
      </x:c>
      <x:c r="R1" s="3" t="str">
        <x:v>Closed_Date</x:v>
      </x:c>
    </x:row>
    <x:row r="2">
      <x:c r="A2" t="str">
        <x:v>L-0001</x:v>
      </x:c>
      <x:c r="B2" t="str">
        <x:v>Noah</x:v>
      </x:c>
      <x:c r="C2" t="str">
        <x:v>Smith</x:v>
      </x:c>
      <x:c r="D2" t="str">
        <x:v>Horizon Bio</x:v>
      </x:c>
      <x:c r="E2" t="str">
        <x:v>noah.smith31@northmail.com</x:v>
      </x:c>
      <x:c r="F2" t="str">
        <x:v>(424) 438-9279</x:v>
      </x:c>
      <x:c r="G2" t="str">
        <x:v>FL</x:v>
      </x:c>
      <x:c r="H2" t="str">
        <x:v> Website </x:v>
      </x:c>
      <x:c r="I2" t="str">
        <x:v>new</x:v>
      </x:c>
      <x:c r="J2" t="str">
        <x:v>Jordan Lee</x:v>
      </x:c>
      <x:c r="K2" s="6" t="n">
        <x:v>46057</x:v>
      </x:c>
      <x:c r="L2" s="6" t="n">
        <x:v>46196</x:v>
      </x:c>
      <x:c r="M2" s="6" t="n">
        <x:v>46201</x:v>
      </x:c>
      <x:c r="N2" s="8" t="n">
        <x:v>51200</x:v>
      </x:c>
      <x:c r="O2" t="str">
        <x:v>Retail</x:v>
      </x:c>
      <x:c r="P2" t="str">
        <x:v>No</x:v>
      </x:c>
      <x:c r="Q2" t="str">
        <x:v>No</x:v>
      </x:c>
      <x:c r="R2" s="6"/>
    </x:row>
    <x:row r="3">
      <x:c r="A3" t="str">
        <x:v>L-0002</x:v>
      </x:c>
      <x:c r="B3" t="str">
        <x:v>Olivia</x:v>
      </x:c>
      <x:c r="C3" t="str">
        <x:v>Wilson</x:v>
      </x:c>
      <x:c r="D3" t="str">
        <x:v>Summit Analytics</x:v>
      </x:c>
      <x:c r="E3" t="str">
        <x:v>olivia.wilson471@northmail.com</x:v>
      </x:c>
      <x:c r="F3" t="str">
        <x:v>(588) 280-5803</x:v>
      </x:c>
      <x:c r="G3" t="str">
        <x:v>AZ</x:v>
      </x:c>
      <x:c r="H3" t="str">
        <x:v> Website </x:v>
      </x:c>
      <x:c r="I3" t="str">
        <x:v>WON</x:v>
      </x:c>
      <x:c r="J3" t="str">
        <x:v>Jamie Brooks</x:v>
      </x:c>
      <x:c r="K3" s="6" t="n">
        <x:v>46092</x:v>
      </x:c>
      <x:c r="L3" s="6" t="n">
        <x:v>46159</x:v>
      </x:c>
      <x:c r="M3" s="6"/>
      <x:c r="N3" s="8" t="n">
        <x:v>69100</x:v>
      </x:c>
      <x:c r="O3" t="str">
        <x:v>Technology</x:v>
      </x:c>
      <x:c r="P3" t="str">
        <x:v>Yes</x:v>
      </x:c>
      <x:c r="Q3" t="str">
        <x:v>Yes</x:v>
      </x:c>
      <x:c r="R3" s="6" t="n">
        <x:v>46159</x:v>
      </x:c>
    </x:row>
    <x:row r="4">
      <x:c r="A4" t="str">
        <x:v>L-0003</x:v>
      </x:c>
      <x:c r="B4" t="str">
        <x:v>Logan</x:v>
      </x:c>
      <x:c r="C4" t="str">
        <x:v>GARCIA</x:v>
      </x:c>
      <x:c r="D4" t="str">
        <x:v>Pioneer Tech</x:v>
      </x:c>
      <x:c r="E4" t="str">
        <x:v>logan.garcia547@examplebiz.com</x:v>
      </x:c>
      <x:c r="F4" t="str">
        <x:v>(368) 673-7216</x:v>
      </x:c>
      <x:c r="G4" t="str">
        <x:v>FL</x:v>
      </x:c>
      <x:c r="H4" t="str">
        <x:v>LinkedIn</x:v>
      </x:c>
      <x:c r="I4" t="str">
        <x:v>Opportunity</x:v>
      </x:c>
      <x:c r="J4" t="str">
        <x:v>Taylor Morgan</x:v>
      </x:c>
      <x:c r="K4" s="6" t="n">
        <x:v>46072</x:v>
      </x:c>
      <x:c r="L4" s="6" t="n">
        <x:v>46237</x:v>
      </x:c>
      <x:c r="M4" s="6" t="n">
        <x:v>46242</x:v>
      </x:c>
      <x:c r="N4" s="8" t="n">
        <x:v>52800</x:v>
      </x:c>
      <x:c r="O4" t="str">
        <x:v>Biotech</x:v>
      </x:c>
      <x:c r="P4" t="str">
        <x:v>Yes</x:v>
      </x:c>
      <x:c r="Q4" t="str">
        <x:v>No</x:v>
      </x:c>
      <x:c r="R4" s="6"/>
    </x:row>
    <x:row r="5">
      <x:c r="A5" t="str">
        <x:v>L-0004</x:v>
      </x:c>
      <x:c r="B5" t="str">
        <x:v>luna</x:v>
      </x:c>
      <x:c r="C5" t="str">
        <x:v>WILSON</x:v>
      </x:c>
      <x:c r="D5" t="str">
        <x:v>apex manufacturing</x:v>
      </x:c>
      <x:c r="E5" t="str">
        <x:v>luna.wilson552@prospect.co</x:v>
      </x:c>
      <x:c r="F5" t="str">
        <x:v>(965) 798-8019</x:v>
      </x:c>
      <x:c r="G5" t="str">
        <x:v>AZ</x:v>
      </x:c>
      <x:c r="H5" t="str">
        <x:v>Email</x:v>
      </x:c>
      <x:c r="I5" t="str">
        <x:v>OPP</x:v>
      </x:c>
      <x:c r="J5" t="str">
        <x:v>ALEX KIM</x:v>
      </x:c>
      <x:c r="K5" s="6" t="n">
        <x:v>46210</x:v>
      </x:c>
      <x:c r="L5" s="6" t="n">
        <x:v>46226</x:v>
      </x:c>
      <x:c r="M5" s="6" t="n">
        <x:v>46233</x:v>
      </x:c>
      <x:c r="N5" s="8" t="n">
        <x:v>22800</x:v>
      </x:c>
      <x:c r="O5" t="str">
        <x:v>Logistics</x:v>
      </x:c>
      <x:c r="P5" t="str">
        <x:v>Yes</x:v>
      </x:c>
      <x:c r="Q5" t="str">
        <x:v>No</x:v>
      </x:c>
      <x:c r="R5" s="6"/>
    </x:row>
    <x:row r="6">
      <x:c r="A6" t="str">
        <x:v>L-0005</x:v>
      </x:c>
      <x:c r="B6" t="str">
        <x:v>Amelia</x:v>
      </x:c>
      <x:c r="C6" t="str">
        <x:v>Thompson</x:v>
      </x:c>
      <x:c r="D6" t="str">
        <x:v>prairie health</x:v>
      </x:c>
      <x:c r="E6" t="str">
        <x:v>amelia.thompson788@prospect.co</x:v>
      </x:c>
      <x:c r="F6" t="str">
        <x:v>(315) 500-8123</x:v>
      </x:c>
      <x:c r="G6" t="str">
        <x:v>GA</x:v>
      </x:c>
      <x:c r="H6" t="str">
        <x:v>email campaign</x:v>
      </x:c>
      <x:c r="I6" t="str">
        <x:v>New</x:v>
      </x:c>
      <x:c r="J6" t="str"/>
      <x:c r="K6" s="6" t="n">
        <x:v>46062</x:v>
      </x:c>
      <x:c r="L6" s="6" t="n">
        <x:v>46091</x:v>
      </x:c>
      <x:c r="M6" s="6" t="n">
        <x:v>46115</x:v>
      </x:c>
      <x:c r="N6" s="8" t="n">
        <x:v>75500</x:v>
      </x:c>
      <x:c r="O6" t="str">
        <x:v>Financial Services</x:v>
      </x:c>
      <x:c r="P6" t="str">
        <x:v>No</x:v>
      </x:c>
      <x:c r="Q6" t="str">
        <x:v>No</x:v>
      </x:c>
      <x:c r="R6" s="6"/>
    </x:row>
    <x:row r="7">
      <x:c r="A7" t="str">
        <x:v>L-0006</x:v>
      </x:c>
      <x:c r="B7" t="str">
        <x:v> Logan </x:v>
      </x:c>
      <x:c r="C7" t="str">
        <x:v>Garcia</x:v>
      </x:c>
      <x:c r="D7" t="str">
        <x:v>Northstar Labs</x:v>
      </x:c>
      <x:c r="E7" t="str">
        <x:v>logan.garcia247@northmail.com</x:v>
      </x:c>
      <x:c r="F7" t="str">
        <x:v>(288) 949-8962</x:v>
      </x:c>
      <x:c r="G7" t="str">
        <x:v>NC</x:v>
      </x:c>
      <x:c r="H7" t="str">
        <x:v>website</x:v>
      </x:c>
      <x:c r="I7" t="str">
        <x:v>LOST</x:v>
      </x:c>
      <x:c r="J7" t="str">
        <x:v>Jordan Lee</x:v>
      </x:c>
      <x:c r="K7" s="6" t="n">
        <x:v>46034</x:v>
      </x:c>
      <x:c r="L7" s="6" t="n">
        <x:v>46240</x:v>
      </x:c>
      <x:c r="M7" s="6"/>
      <x:c r="N7" s="8" t="n">
        <x:v>27900</x:v>
      </x:c>
      <x:c r="O7" t="str">
        <x:v>Biotech</x:v>
      </x:c>
      <x:c r="P7" t="str">
        <x:v>Yes</x:v>
      </x:c>
      <x:c r="Q7" t="str">
        <x:v>No</x:v>
      </x:c>
      <x:c r="R7" s="6" t="n">
        <x:v>46248</x:v>
      </x:c>
    </x:row>
    <x:row r="8">
      <x:c r="A8" t="str">
        <x:v>L-0007</x:v>
      </x:c>
      <x:c r="B8" t="str">
        <x:v>logan</x:v>
      </x:c>
      <x:c r="C8" t="str">
        <x:v>Moore</x:v>
      </x:c>
      <x:c r="D8" t="str">
        <x:v>Prairie Health</x:v>
      </x:c>
      <x:c r="E8" t="str">
        <x:v>logan.moore73@northmail.com</x:v>
      </x:c>
      <x:c r="F8" t="str">
        <x:v>(435) 269-1514</x:v>
      </x:c>
      <x:c r="G8" t="str">
        <x:v>FL</x:v>
      </x:c>
      <x:c r="H8" t="str">
        <x:v> Website </x:v>
      </x:c>
      <x:c r="I8" t="str">
        <x:v>contacted</x:v>
      </x:c>
      <x:c r="J8" t="str">
        <x:v>jordan lee</x:v>
      </x:c>
      <x:c r="K8" s="6" t="n">
        <x:v>46096</x:v>
      </x:c>
      <x:c r="L8" s="6" t="n">
        <x:v>46237</x:v>
      </x:c>
      <x:c r="M8" s="6" t="n">
        <x:v>46247</x:v>
      </x:c>
      <x:c r="N8" s="8" t="n">
        <x:v>51000</x:v>
      </x:c>
      <x:c r="O8" t="str">
        <x:v>Technology</x:v>
      </x:c>
      <x:c r="P8" t="str">
        <x:v>No</x:v>
      </x:c>
      <x:c r="Q8" t="str">
        <x:v>No</x:v>
      </x:c>
      <x:c r="R8" s="6"/>
    </x:row>
    <x:row r="9">
      <x:c r="A9" t="str">
        <x:v>L-0008</x:v>
      </x:c>
      <x:c r="B9" t="str">
        <x:v>JAMES</x:v>
      </x:c>
      <x:c r="C9" t="str">
        <x:v>Anderson</x:v>
      </x:c>
      <x:c r="D9" t="str">
        <x:v>Vertex Solutions</x:v>
      </x:c>
      <x:c r="E9" t="str">
        <x:v> james.anderson348@northmail.com </x:v>
      </x:c>
      <x:c r="F9" t="str">
        <x:v>(455) 396-4116</x:v>
      </x:c>
      <x:c r="G9" t="str">
        <x:v>NC</x:v>
      </x:c>
      <x:c r="H9" t="str">
        <x:v>Email Campaign</x:v>
      </x:c>
      <x:c r="I9" t="str">
        <x:v>New</x:v>
      </x:c>
      <x:c r="J9" t="str">
        <x:v>Jamie Brooks</x:v>
      </x:c>
      <x:c r="K9" s="6" t="n">
        <x:v>46079</x:v>
      </x:c>
      <x:c r="L9" s="6" t="n">
        <x:v>46244</x:v>
      </x:c>
      <x:c r="M9" s="6" t="n">
        <x:v>46250</x:v>
      </x:c>
      <x:c r="N9" s="8" t="n">
        <x:v>7500</x:v>
      </x:c>
      <x:c r="O9" t="str">
        <x:v>Professional Services</x:v>
      </x:c>
      <x:c r="P9" t="str">
        <x:v>No</x:v>
      </x:c>
      <x:c r="Q9" t="str">
        <x:v>No</x:v>
      </x:c>
      <x:c r="R9" s="6"/>
    </x:row>
    <x:row r="10">
      <x:c r="A10" t="str">
        <x:v>L-0009</x:v>
      </x:c>
      <x:c r="B10" t="str">
        <x:v>Mason</x:v>
      </x:c>
      <x:c r="C10" t="str">
        <x:v>GARCIA</x:v>
      </x:c>
      <x:c r="D10" t="str">
        <x:v>Vertex Solutions</x:v>
      </x:c>
      <x:c r="E10" t="str">
        <x:v>mason.garcia272@mailhub.net</x:v>
      </x:c>
      <x:c r="F10" t="str">
        <x:v>(493) 633-8973</x:v>
      </x:c>
      <x:c r="G10" t="str">
        <x:v>NC</x:v>
      </x:c>
      <x:c r="H10" t="str">
        <x:v>website</x:v>
      </x:c>
      <x:c r="I10" t="str">
        <x:v>Contacted</x:v>
      </x:c>
      <x:c r="J10" t="str">
        <x:v>Morgan Reed</x:v>
      </x:c>
      <x:c r="K10" s="6" t="n">
        <x:v>46231</x:v>
      </x:c>
      <x:c r="L10" s="6" t="n">
        <x:v>46236</x:v>
      </x:c>
      <x:c r="M10" s="6" t="n">
        <x:v>46251</x:v>
      </x:c>
      <x:c r="N10" s="8" t="n">
        <x:v>2700</x:v>
      </x:c>
      <x:c r="O10" t="str">
        <x:v>Logistics</x:v>
      </x:c>
      <x:c r="P10" t="str">
        <x:v>No</x:v>
      </x:c>
      <x:c r="Q10" t="str">
        <x:v>No</x:v>
      </x:c>
      <x:c r="R10" s="6"/>
    </x:row>
    <x:row r="11">
      <x:c r="A11" t="str">
        <x:v>L-0010</x:v>
      </x:c>
      <x:c r="B11" t="str">
        <x:v>mia</x:v>
      </x:c>
      <x:c r="C11" t="str">
        <x:v>Garcia</x:v>
      </x:c>
      <x:c r="D11" t="str">
        <x:v>BrightPath Health</x:v>
      </x:c>
      <x:c r="E11" t="str">
        <x:v>mia.garcia84@mailhub.net</x:v>
      </x:c>
      <x:c r="F11" t="str">
        <x:v>(874) 797-9565</x:v>
      </x:c>
      <x:c r="G11" t="str">
        <x:v>OH</x:v>
      </x:c>
      <x:c r="H11" t="str">
        <x:v>Email Campaign</x:v>
      </x:c>
      <x:c r="I11" t="str">
        <x:v>Contact</x:v>
      </x:c>
      <x:c r="J11" t="str">
        <x:v>Alex Kim</x:v>
      </x:c>
      <x:c r="K11" s="6" t="n">
        <x:v>46101</x:v>
      </x:c>
      <x:c r="L11" s="6" t="n">
        <x:v>46164</x:v>
      </x:c>
      <x:c r="M11" s="6" t="n">
        <x:v>46185</x:v>
      </x:c>
      <x:c r="N11" s="8" t="n">
        <x:v>51500</x:v>
      </x:c>
      <x:c r="O11" t="str">
        <x:v>Technology</x:v>
      </x:c>
      <x:c r="P11" t="str">
        <x:v>No</x:v>
      </x:c>
      <x:c r="Q11" t="str">
        <x:v>No</x:v>
      </x:c>
      <x:c r="R11" s="6"/>
    </x:row>
    <x:row r="12">
      <x:c r="A12" t="str">
        <x:v>L-0011</x:v>
      </x:c>
      <x:c r="B12" t="str">
        <x:v>Luna</x:v>
      </x:c>
      <x:c r="C12" t="str">
        <x:v>Brown</x:v>
      </x:c>
      <x:c r="D12" t="str"/>
      <x:c r="E12" t="str">
        <x:v>luna.brown449@prospect.co</x:v>
      </x:c>
      <x:c r="F12" t="str">
        <x:v>(827) 869-9666</x:v>
      </x:c>
      <x:c r="G12" t="str">
        <x:v>GA</x:v>
      </x:c>
      <x:c r="H12" t="str">
        <x:v>REFERRAL</x:v>
      </x:c>
      <x:c r="I12" t="str">
        <x:v>closed lost</x:v>
      </x:c>
      <x:c r="J12" t="str">
        <x:v>Taylor Morgan</x:v>
      </x:c>
      <x:c r="K12" s="6" t="n">
        <x:v>46229</x:v>
      </x:c>
      <x:c r="L12" s="6" t="n">
        <x:v>46236</x:v>
      </x:c>
      <x:c r="M12" s="6"/>
      <x:c r="N12" s="8" t="n">
        <x:v>33000</x:v>
      </x:c>
      <x:c r="O12" t="str">
        <x:v>Retail</x:v>
      </x:c>
      <x:c r="P12" t="str">
        <x:v>Yes</x:v>
      </x:c>
      <x:c r="Q12" t="str">
        <x:v>No</x:v>
      </x:c>
      <x:c r="R12" s="6" t="n">
        <x:v>46238</x:v>
      </x:c>
    </x:row>
    <x:row r="13">
      <x:c r="A13" t="str">
        <x:v>L-0012</x:v>
      </x:c>
      <x:c r="B13" t="str">
        <x:v>Olivia</x:v>
      </x:c>
      <x:c r="C13" t="str">
        <x:v>Rodriguez</x:v>
      </x:c>
      <x:c r="D13" t="str">
        <x:v>Atlas Commerce</x:v>
      </x:c>
      <x:c r="E13" t="str"/>
      <x:c r="F13" t="str">
        <x:v>(366) 959-8239</x:v>
      </x:c>
      <x:c r="G13" t="str">
        <x:v>CO</x:v>
      </x:c>
      <x:c r="H13" t="str">
        <x:v>website</x:v>
      </x:c>
      <x:c r="I13" t="str">
        <x:v>Qual</x:v>
      </x:c>
      <x:c r="J13" t="str">
        <x:v>taylor morgan</x:v>
      </x:c>
      <x:c r="K13" s="6" t="n">
        <x:v>46176</x:v>
      </x:c>
      <x:c r="L13" s="6" t="n">
        <x:v>46181</x:v>
      </x:c>
      <x:c r="M13" s="6" t="n">
        <x:v>46184</x:v>
      </x:c>
      <x:c r="N13" s="8" t="n">
        <x:v>30000</x:v>
      </x:c>
      <x:c r="O13" t="str">
        <x:v>Financial Services</x:v>
      </x:c>
      <x:c r="P13" t="str">
        <x:v>Yes</x:v>
      </x:c>
      <x:c r="Q13" t="str">
        <x:v>No</x:v>
      </x:c>
      <x:c r="R13" s="6"/>
    </x:row>
    <x:row r="14">
      <x:c r="A14" t="str">
        <x:v>L-0013</x:v>
      </x:c>
      <x:c r="B14" t="str">
        <x:v>Lucas</x:v>
      </x:c>
      <x:c r="C14" t="str">
        <x:v>Anderson</x:v>
      </x:c>
      <x:c r="D14" t="str"/>
      <x:c r="E14" t="str">
        <x:v>lucas.anderson159@examplebiz.com</x:v>
      </x:c>
      <x:c r="F14" t="str">
        <x:v>(367) 381-7755</x:v>
      </x:c>
      <x:c r="G14" t="str">
        <x:v>FL</x:v>
      </x:c>
      <x:c r="H14" t="str">
        <x:v>LinkedIn</x:v>
      </x:c>
      <x:c r="I14" t="str">
        <x:v>opportunity</x:v>
      </x:c>
      <x:c r="J14" t="str">
        <x:v>Jamie Brooks</x:v>
      </x:c>
      <x:c r="K14" s="6" t="n">
        <x:v>46156</x:v>
      </x:c>
      <x:c r="L14" s="6" t="n">
        <x:v>46227</x:v>
      </x:c>
      <x:c r="M14" s="6" t="n">
        <x:v>46243</x:v>
      </x:c>
      <x:c r="N14" s="8" t="n">
        <x:v>82800</x:v>
      </x:c>
      <x:c r="O14" t="str">
        <x:v>Biotech</x:v>
      </x:c>
      <x:c r="P14" t="str">
        <x:v>Yes</x:v>
      </x:c>
      <x:c r="Q14" t="str">
        <x:v>No</x:v>
      </x:c>
      <x:c r="R14" s="6"/>
    </x:row>
    <x:row r="15">
      <x:c r="A15" t="str">
        <x:v>L-0014</x:v>
      </x:c>
      <x:c r="B15" t="str">
        <x:v>benjamin</x:v>
      </x:c>
      <x:c r="C15" t="str">
        <x:v>Davis</x:v>
      </x:c>
      <x:c r="D15" t="str">
        <x:v> Apex Manufacturing </x:v>
      </x:c>
      <x:c r="E15" t="str">
        <x:v>benjamin.davis409@prospect.co</x:v>
      </x:c>
      <x:c r="F15" t="str">
        <x:v>(486) 271-5573</x:v>
      </x:c>
      <x:c r="G15" t="str">
        <x:v>IL</x:v>
      </x:c>
      <x:c r="H15" t="str">
        <x:v>Referral</x:v>
      </x:c>
      <x:c r="I15" t="str">
        <x:v>Closed-Won</x:v>
      </x:c>
      <x:c r="J15" t="str">
        <x:v>Taylor Morgan</x:v>
      </x:c>
      <x:c r="K15" s="6" t="n">
        <x:v>46188</x:v>
      </x:c>
      <x:c r="L15" s="6" t="n">
        <x:v>46216</x:v>
      </x:c>
      <x:c r="M15" s="6"/>
      <x:c r="N15" s="8" t="n">
        <x:v>4500</x:v>
      </x:c>
      <x:c r="O15" t="str">
        <x:v>Logistics</x:v>
      </x:c>
      <x:c r="P15" t="str">
        <x:v>Yes</x:v>
      </x:c>
      <x:c r="Q15" t="str">
        <x:v>Yes</x:v>
      </x:c>
      <x:c r="R15" s="6" t="n">
        <x:v>46216</x:v>
      </x:c>
    </x:row>
    <x:row r="16">
      <x:c r="A16" t="str">
        <x:v>L-0015</x:v>
      </x:c>
      <x:c r="B16" t="str">
        <x:v>Isabella</x:v>
      </x:c>
      <x:c r="C16" t="str">
        <x:v>Taylor</x:v>
      </x:c>
      <x:c r="D16" t="str">
        <x:v>Summit Analytics</x:v>
      </x:c>
      <x:c r="E16" t="str">
        <x:v>isabella.taylor704@examplebiz.com</x:v>
      </x:c>
      <x:c r="F16" t="str">
        <x:v>(573) 641-2146</x:v>
      </x:c>
      <x:c r="G16" t="str">
        <x:v>WA</x:v>
      </x:c>
      <x:c r="H16" t="str">
        <x:v>website</x:v>
      </x:c>
      <x:c r="I16" t="str">
        <x:v>New</x:v>
      </x:c>
      <x:c r="J16" t="str">
        <x:v>Alex Kim</x:v>
      </x:c>
      <x:c r="K16" s="6" t="n">
        <x:v>46135</x:v>
      </x:c>
      <x:c r="L16" s="6" t="n">
        <x:v>46135</x:v>
      </x:c>
      <x:c r="M16" s="6" t="n">
        <x:v>46154</x:v>
      </x:c>
      <x:c r="N16" s="8" t="n">
        <x:v>78900</x:v>
      </x:c>
      <x:c r="O16" t="str">
        <x:v>Professional Services</x:v>
      </x:c>
      <x:c r="P16" t="str">
        <x:v>No</x:v>
      </x:c>
      <x:c r="Q16" t="str">
        <x:v>No</x:v>
      </x:c>
      <x:c r="R16" s="6"/>
    </x:row>
    <x:row r="17">
      <x:c r="A17" t="str">
        <x:v>L-0016</x:v>
      </x:c>
      <x:c r="B17" t="str">
        <x:v>Amelia</x:v>
      </x:c>
      <x:c r="C17" t="str">
        <x:v>Garcia</x:v>
      </x:c>
      <x:c r="D17" t="str">
        <x:v>Evergreen Services</x:v>
      </x:c>
      <x:c r="E17" t="str">
        <x:v> amelia.garcia477@mailhub.net </x:v>
      </x:c>
      <x:c r="F17" t="str">
        <x:v>(653) 891-4501</x:v>
      </x:c>
      <x:c r="G17" t="str">
        <x:v>GA</x:v>
      </x:c>
      <x:c r="H17" t="str">
        <x:v>email campaign</x:v>
      </x:c>
      <x:c r="I17" t="str">
        <x:v>CONTACTED</x:v>
      </x:c>
      <x:c r="J17" t="str">
        <x:v>Casey Patel</x:v>
      </x:c>
      <x:c r="K17" s="6" t="n">
        <x:v>46193</x:v>
      </x:c>
      <x:c r="L17" s="6" t="n">
        <x:v>46220</x:v>
      </x:c>
      <x:c r="M17" s="6" t="n">
        <x:v>46241</x:v>
      </x:c>
      <x:c r="N17" s="8" t="n">
        <x:v>52500</x:v>
      </x:c>
      <x:c r="O17" t="str">
        <x:v>Professional Services</x:v>
      </x:c>
      <x:c r="P17" t="str">
        <x:v>No</x:v>
      </x:c>
      <x:c r="Q17" t="str">
        <x:v>No</x:v>
      </x:c>
      <x:c r="R17" s="6"/>
    </x:row>
    <x:row r="18">
      <x:c r="A18" t="str">
        <x:v>L-0017</x:v>
      </x:c>
      <x:c r="B18" t="str">
        <x:v>Olivia</x:v>
      </x:c>
      <x:c r="C18" t="str">
        <x:v>jones</x:v>
      </x:c>
      <x:c r="D18" t="str">
        <x:v>Northstar Labs</x:v>
      </x:c>
      <x:c r="E18" t="str">
        <x:v>olivia.jones590@examplebiz.com</x:v>
      </x:c>
      <x:c r="F18" t="str"/>
      <x:c r="G18" t="str">
        <x:v>FL</x:v>
      </x:c>
      <x:c r="H18" t="str">
        <x:v>Cold Outreach</x:v>
      </x:c>
      <x:c r="I18" t="str">
        <x:v>Opportunity</x:v>
      </x:c>
      <x:c r="J18" t="str">
        <x:v>Jamie Brooks</x:v>
      </x:c>
      <x:c r="K18" s="6" t="n">
        <x:v>46050</x:v>
      </x:c>
      <x:c r="L18" s="6" t="n">
        <x:v>46068</x:v>
      </x:c>
      <x:c r="M18" s="6" t="n">
        <x:v>46085</x:v>
      </x:c>
      <x:c r="N18" s="8" t="n">
        <x:v>36700</x:v>
      </x:c>
      <x:c r="O18" t="str">
        <x:v>Healthcare</x:v>
      </x:c>
      <x:c r="P18" t="str">
        <x:v>Yes</x:v>
      </x:c>
      <x:c r="Q18" t="str">
        <x:v>No</x:v>
      </x:c>
      <x:c r="R18" s="6"/>
    </x:row>
    <x:row r="19">
      <x:c r="A19" t="str">
        <x:v>L-0018</x:v>
      </x:c>
      <x:c r="B19" t="str">
        <x:v>Noah</x:v>
      </x:c>
      <x:c r="C19" t="str">
        <x:v>Moore</x:v>
      </x:c>
      <x:c r="D19" t="str">
        <x:v>Blue Ridge Supply</x:v>
      </x:c>
      <x:c r="E19" t="str">
        <x:v>noah.moore437@mailhub.net</x:v>
      </x:c>
      <x:c r="F19" t="str">
        <x:v>(363) 961-8777</x:v>
      </x:c>
      <x:c r="G19" t="str">
        <x:v>OH</x:v>
      </x:c>
      <x:c r="H19" t="str">
        <x:v>webinar</x:v>
      </x:c>
      <x:c r="I19" t="str">
        <x:v>QUALIFIED</x:v>
      </x:c>
      <x:c r="J19" t="str">
        <x:v>Alex Kim</x:v>
      </x:c>
      <x:c r="K19" s="6" t="n">
        <x:v>46165</x:v>
      </x:c>
      <x:c r="L19" s="6" t="n">
        <x:v>46221</x:v>
      </x:c>
      <x:c r="M19" s="6" t="n">
        <x:v>46243</x:v>
      </x:c>
      <x:c r="N19" s="8" t="n">
        <x:v>69700</x:v>
      </x:c>
      <x:c r="O19" t="str">
        <x:v>Logistics</x:v>
      </x:c>
      <x:c r="P19" t="str">
        <x:v>Yes</x:v>
      </x:c>
      <x:c r="Q19" t="str">
        <x:v>No</x:v>
      </x:c>
      <x:c r="R19" s="6"/>
    </x:row>
    <x:row r="20">
      <x:c r="A20" t="str">
        <x:v>L-0019</x:v>
      </x:c>
      <x:c r="B20" t="str">
        <x:v>Mia</x:v>
      </x:c>
      <x:c r="C20" t="str">
        <x:v>JONES</x:v>
      </x:c>
      <x:c r="D20" t="str">
        <x:v>Blue Ridge Supply</x:v>
      </x:c>
      <x:c r="E20" t="str">
        <x:v>mia.jones426@northmail.com</x:v>
      </x:c>
      <x:c r="F20" t="str">
        <x:v>(412) 630-7381</x:v>
      </x:c>
      <x:c r="G20" t="str">
        <x:v>AZ</x:v>
      </x:c>
      <x:c r="H20" t="str">
        <x:v>Linked In</x:v>
      </x:c>
      <x:c r="I20" t="str">
        <x:v>OPP</x:v>
      </x:c>
      <x:c r="J20" t="str">
        <x:v>Morgan Reed</x:v>
      </x:c>
      <x:c r="K20" s="6" t="n">
        <x:v>46230</x:v>
      </x:c>
      <x:c r="L20" s="6" t="n">
        <x:v>46243</x:v>
      </x:c>
      <x:c r="M20" s="6" t="n">
        <x:v>46259</x:v>
      </x:c>
      <x:c r="N20" s="8" t="n">
        <x:v>29800</x:v>
      </x:c>
      <x:c r="O20" t="str">
        <x:v>Retail</x:v>
      </x:c>
      <x:c r="P20" t="str">
        <x:v>Yes</x:v>
      </x:c>
      <x:c r="Q20" t="str">
        <x:v>No</x:v>
      </x:c>
      <x:c r="R20" s="6"/>
    </x:row>
    <x:row r="21">
      <x:c r="A21" t="str">
        <x:v>L-0020</x:v>
      </x:c>
      <x:c r="B21" t="str">
        <x:v>elijah</x:v>
      </x:c>
      <x:c r="C21" t="str">
        <x:v>Thompson</x:v>
      </x:c>
      <x:c r="D21" t="str"/>
      <x:c r="E21" t="str">
        <x:v> elijah.thompson742@examplebiz.com </x:v>
      </x:c>
      <x:c r="F21" t="str"/>
      <x:c r="G21" t="str">
        <x:v>FL</x:v>
      </x:c>
      <x:c r="H21" t="str">
        <x:v>referral</x:v>
      </x:c>
      <x:c r="I21" t="str">
        <x:v>Qual</x:v>
      </x:c>
      <x:c r="J21" t="str">
        <x:v>Morgan Reed</x:v>
      </x:c>
      <x:c r="K21" s="6" t="n">
        <x:v>46147</x:v>
      </x:c>
      <x:c r="L21" s="6" t="n">
        <x:v>46190</x:v>
      </x:c>
      <x:c r="M21" s="6" t="n">
        <x:v>46214</x:v>
      </x:c>
      <x:c r="N21" s="8" t="n">
        <x:v>58500</x:v>
      </x:c>
      <x:c r="O21" t="str">
        <x:v>Logistics</x:v>
      </x:c>
      <x:c r="P21" t="str">
        <x:v>Yes</x:v>
      </x:c>
      <x:c r="Q21" t="str">
        <x:v>No</x:v>
      </x:c>
      <x:c r="R21" s="6"/>
    </x:row>
    <x:row r="22">
      <x:c r="A22" t="str">
        <x:v>L-0021</x:v>
      </x:c>
      <x:c r="B22" t="str">
        <x:v>Amelia</x:v>
      </x:c>
      <x:c r="C22" t="str">
        <x:v>Rodriguez</x:v>
      </x:c>
      <x:c r="D22" t="str">
        <x:v>Vertex Solutions</x:v>
      </x:c>
      <x:c r="E22" t="str">
        <x:v>amelia.rodriguez42@northmail.com</x:v>
      </x:c>
      <x:c r="F22" t="str">
        <x:v>(454) 404-1333</x:v>
      </x:c>
      <x:c r="G22" t="str">
        <x:v>TX</x:v>
      </x:c>
      <x:c r="H22" t="str">
        <x:v>Webinar</x:v>
      </x:c>
      <x:c r="I22" t="str">
        <x:v>opportunity</x:v>
      </x:c>
      <x:c r="J22" t="str">
        <x:v>jamie brooks</x:v>
      </x:c>
      <x:c r="K22" s="6" t="n">
        <x:v>46233</x:v>
      </x:c>
      <x:c r="L22" s="6" t="n">
        <x:v>46244</x:v>
      </x:c>
      <x:c r="M22" s="6" t="n">
        <x:v>46254</x:v>
      </x:c>
      <x:c r="N22" s="8" t="n">
        <x:v>56100</x:v>
      </x:c>
      <x:c r="O22" t="str">
        <x:v>Financial Services</x:v>
      </x:c>
      <x:c r="P22" t="str">
        <x:v>Yes</x:v>
      </x:c>
      <x:c r="Q22" t="str">
        <x:v>No</x:v>
      </x:c>
      <x:c r="R22" s="6"/>
    </x:row>
    <x:row r="23">
      <x:c r="A23" t="str">
        <x:v>L-0022</x:v>
      </x:c>
      <x:c r="B23" t="str">
        <x:v>Ava</x:v>
      </x:c>
      <x:c r="C23" t="str">
        <x:v>Martinez</x:v>
      </x:c>
      <x:c r="D23" t="str">
        <x:v>Silverline Foods</x:v>
      </x:c>
      <x:c r="E23" t="str">
        <x:v>ava.martinez871@northmail.com</x:v>
      </x:c>
      <x:c r="F23" t="str">
        <x:v>(780) 242-6688</x:v>
      </x:c>
      <x:c r="G23" t="str">
        <x:v>PA</x:v>
      </x:c>
      <x:c r="H23" t="str">
        <x:v>website</x:v>
      </x:c>
      <x:c r="I23" t="str">
        <x:v>Qual</x:v>
      </x:c>
      <x:c r="J23" t="str">
        <x:v> Casey Patel </x:v>
      </x:c>
      <x:c r="K23" s="6" t="n">
        <x:v>46034</x:v>
      </x:c>
      <x:c r="L23" s="6" t="n">
        <x:v>46194</x:v>
      </x:c>
      <x:c r="M23" s="6" t="n">
        <x:v>46204</x:v>
      </x:c>
      <x:c r="N23" s="8" t="n">
        <x:v>10900</x:v>
      </x:c>
      <x:c r="O23" t="str">
        <x:v>Professional Services</x:v>
      </x:c>
      <x:c r="P23" t="str">
        <x:v>Yes</x:v>
      </x:c>
      <x:c r="Q23" t="str">
        <x:v>No</x:v>
      </x:c>
      <x:c r="R23" s="6"/>
    </x:row>
    <x:row r="24">
      <x:c r="A24" t="str">
        <x:v>L-0023</x:v>
      </x:c>
      <x:c r="B24" t="str">
        <x:v>Evelyn</x:v>
      </x:c>
      <x:c r="C24" t="str">
        <x:v>Rodriguez</x:v>
      </x:c>
      <x:c r="D24" t="str">
        <x:v>Atlas Commerce</x:v>
      </x:c>
      <x:c r="E24" t="str">
        <x:v>evelyn.rodriguez250@mailhub.net</x:v>
      </x:c>
      <x:c r="F24" t="str">
        <x:v>(784) 824-7209</x:v>
      </x:c>
      <x:c r="G24" t="str">
        <x:v>AZ</x:v>
      </x:c>
      <x:c r="H24" t="str">
        <x:v>email campaign</x:v>
      </x:c>
      <x:c r="I24" t="str">
        <x:v>Qualified</x:v>
      </x:c>
      <x:c r="J24" t="str">
        <x:v>Morgan Reed</x:v>
      </x:c>
      <x:c r="K24" s="6" t="n">
        <x:v>46164</x:v>
      </x:c>
      <x:c r="L24" s="6" t="n">
        <x:v>46195</x:v>
      </x:c>
      <x:c r="M24" s="6" t="n">
        <x:v>46200</x:v>
      </x:c>
      <x:c r="N24" s="8" t="n">
        <x:v>25500</x:v>
      </x:c>
      <x:c r="O24" t="str">
        <x:v>Logistics</x:v>
      </x:c>
      <x:c r="P24" t="str">
        <x:v>Yes</x:v>
      </x:c>
      <x:c r="Q24" t="str">
        <x:v>No</x:v>
      </x:c>
      <x:c r="R24" s="6"/>
    </x:row>
    <x:row r="25">
      <x:c r="A25" t="str">
        <x:v>L-0024</x:v>
      </x:c>
      <x:c r="B25" t="str">
        <x:v>James</x:v>
      </x:c>
      <x:c r="C25" t="str">
        <x:v>Jackson</x:v>
      </x:c>
      <x:c r="D25" t="str">
        <x:v>clearview media</x:v>
      </x:c>
      <x:c r="E25" t="str">
        <x:v>james.jackson250@prospect.co</x:v>
      </x:c>
      <x:c r="F25" t="str">
        <x:v>(880) 795-7046</x:v>
      </x:c>
      <x:c r="G25" t="str">
        <x:v>OH</x:v>
      </x:c>
      <x:c r="H25" t="str">
        <x:v>linkedin</x:v>
      </x:c>
      <x:c r="I25" t="str">
        <x:v>qualified</x:v>
      </x:c>
      <x:c r="J25" t="str">
        <x:v> Jamie Brooks </x:v>
      </x:c>
      <x:c r="K25" s="6" t="n">
        <x:v>46242</x:v>
      </x:c>
      <x:c r="L25" s="6" t="n">
        <x:v>46243</x:v>
      </x:c>
      <x:c r="M25" s="6" t="n">
        <x:v>46255</x:v>
      </x:c>
      <x:c r="N25" s="8" t="n">
        <x:v>20800</x:v>
      </x:c>
      <x:c r="O25" t="str">
        <x:v>Logistics</x:v>
      </x:c>
      <x:c r="P25" t="str">
        <x:v>Yes</x:v>
      </x:c>
      <x:c r="Q25" t="str">
        <x:v>No</x:v>
      </x:c>
      <x:c r="R25" s="6"/>
    </x:row>
    <x:row r="26">
      <x:c r="A26" t="str">
        <x:v>L-0025</x:v>
      </x:c>
      <x:c r="B26" t="str">
        <x:v>Benjamin</x:v>
      </x:c>
      <x:c r="C26" t="str">
        <x:v>Rodriguez</x:v>
      </x:c>
      <x:c r="D26" t="str">
        <x:v>Evergreen Services</x:v>
      </x:c>
      <x:c r="E26" t="str">
        <x:v>benjamin.rodriguez47@northmail.com</x:v>
      </x:c>
      <x:c r="F26" t="str"/>
      <x:c r="G26" t="str">
        <x:v>FL</x:v>
      </x:c>
      <x:c r="H26" t="str">
        <x:v>Referral</x:v>
      </x:c>
      <x:c r="I26" t="str">
        <x:v>Contact</x:v>
      </x:c>
      <x:c r="J26" t="str">
        <x:v>Casey Patel</x:v>
      </x:c>
      <x:c r="K26" s="6" t="n">
        <x:v>46169</x:v>
      </x:c>
      <x:c r="L26" s="6" t="n">
        <x:v>46170</x:v>
      </x:c>
      <x:c r="M26" s="6" t="n">
        <x:v>46195</x:v>
      </x:c>
      <x:c r="N26" s="8" t="n">
        <x:v>46600</x:v>
      </x:c>
      <x:c r="O26" t="str">
        <x:v>Technology</x:v>
      </x:c>
      <x:c r="P26" t="str">
        <x:v>No</x:v>
      </x:c>
      <x:c r="Q26" t="str">
        <x:v>No</x:v>
      </x:c>
      <x:c r="R26" s="6"/>
    </x:row>
    <x:row r="27">
      <x:c r="A27" t="str">
        <x:v>L-0026</x:v>
      </x:c>
      <x:c r="B27" t="str">
        <x:v>Luna</x:v>
      </x:c>
      <x:c r="C27" t="str">
        <x:v>johnson</x:v>
      </x:c>
      <x:c r="D27" t="str">
        <x:v>Blue Ridge Supply</x:v>
      </x:c>
      <x:c r="E27" t="str">
        <x:v>luna.johnson611@examplebiz.com</x:v>
      </x:c>
      <x:c r="F27" t="str">
        <x:v>(736) 589-8381</x:v>
      </x:c>
      <x:c r="G27" t="str">
        <x:v>WA</x:v>
      </x:c>
      <x:c r="H27" t="str">
        <x:v>Outbound</x:v>
      </x:c>
      <x:c r="I27" t="str">
        <x:v>New</x:v>
      </x:c>
      <x:c r="J27" t="str">
        <x:v>Alex Kim</x:v>
      </x:c>
      <x:c r="K27" s="6" t="n">
        <x:v>46183</x:v>
      </x:c>
      <x:c r="L27" s="6" t="n">
        <x:v>46198</x:v>
      </x:c>
      <x:c r="M27" s="6" t="n">
        <x:v>46218</x:v>
      </x:c>
      <x:c r="N27" s="8" t="n">
        <x:v>65600</x:v>
      </x:c>
      <x:c r="O27" t="str">
        <x:v>Manufacturing</x:v>
      </x:c>
      <x:c r="P27" t="str">
        <x:v>No</x:v>
      </x:c>
      <x:c r="Q27" t="str">
        <x:v>No</x:v>
      </x:c>
      <x:c r="R27" s="6"/>
    </x:row>
    <x:row r="28">
      <x:c r="A28" t="str">
        <x:v>L-0027</x:v>
      </x:c>
      <x:c r="B28" t="str">
        <x:v>Elijah</x:v>
      </x:c>
      <x:c r="C28" t="str">
        <x:v>Williams</x:v>
      </x:c>
      <x:c r="D28" t="str">
        <x:v>CedarWorks</x:v>
      </x:c>
      <x:c r="E28" t="str">
        <x:v>elijah.williams720@mailhub.net</x:v>
      </x:c>
      <x:c r="F28" t="str">
        <x:v>273-903-4824</x:v>
      </x:c>
      <x:c r="G28" t="str">
        <x:v>AZ</x:v>
      </x:c>
      <x:c r="H28" t="str">
        <x:v>Webinar</x:v>
      </x:c>
      <x:c r="I28" t="str">
        <x:v>QUALIFIED</x:v>
      </x:c>
      <x:c r="J28" t="str">
        <x:v>Casey Patel</x:v>
      </x:c>
      <x:c r="K28" s="6" t="n">
        <x:v>46172</x:v>
      </x:c>
      <x:c r="L28" s="6" t="n">
        <x:v>46176</x:v>
      </x:c>
      <x:c r="M28" s="6" t="n">
        <x:v>46186</x:v>
      </x:c>
      <x:c r="N28" s="8" t="n">
        <x:v>26300</x:v>
      </x:c>
      <x:c r="O28" t="str">
        <x:v>Healthcare</x:v>
      </x:c>
      <x:c r="P28" t="str">
        <x:v>Yes</x:v>
      </x:c>
      <x:c r="Q28" t="str">
        <x:v>No</x:v>
      </x:c>
      <x:c r="R28" s="6"/>
    </x:row>
    <x:row r="29">
      <x:c r="A29" t="str">
        <x:v>L-0028</x:v>
      </x:c>
      <x:c r="B29" t="str">
        <x:v>LUNA</x:v>
      </x:c>
      <x:c r="C29" t="str">
        <x:v>Martinez</x:v>
      </x:c>
      <x:c r="D29" t="str">
        <x:v>Prairie Health</x:v>
      </x:c>
      <x:c r="E29" t="str">
        <x:v>luna.martinez613@northmail.com</x:v>
      </x:c>
      <x:c r="F29" t="str">
        <x:v>(643) 952-6280</x:v>
      </x:c>
      <x:c r="G29" t="str">
        <x:v>NC</x:v>
      </x:c>
      <x:c r="H29" t="str">
        <x:v>linkedin</x:v>
      </x:c>
      <x:c r="I29" t="str">
        <x:v>opportunity</x:v>
      </x:c>
      <x:c r="J29" t="str"/>
      <x:c r="K29" s="6" t="n">
        <x:v>46177</x:v>
      </x:c>
      <x:c r="L29" s="6" t="n">
        <x:v>46241</x:v>
      </x:c>
      <x:c r="M29" s="6" t="n">
        <x:v>46261</x:v>
      </x:c>
      <x:c r="N29" s="8" t="n">
        <x:v>43200</x:v>
      </x:c>
      <x:c r="O29" t="str">
        <x:v>Technology</x:v>
      </x:c>
      <x:c r="P29" t="str">
        <x:v>Yes</x:v>
      </x:c>
      <x:c r="Q29" t="str">
        <x:v>No</x:v>
      </x:c>
      <x:c r="R29" s="6"/>
    </x:row>
    <x:row r="30">
      <x:c r="A30" t="str">
        <x:v>L-0029</x:v>
      </x:c>
      <x:c r="B30" t="str">
        <x:v>Evelyn</x:v>
      </x:c>
      <x:c r="C30" t="str">
        <x:v>moore</x:v>
      </x:c>
      <x:c r="D30" t="str">
        <x:v>Horizon Bio</x:v>
      </x:c>
      <x:c r="E30" t="str">
        <x:v>evelyn.moore329@northmail.com</x:v>
      </x:c>
      <x:c r="F30" t="str">
        <x:v>(365) 537-7744</x:v>
      </x:c>
      <x:c r="G30" t="str">
        <x:v>WA</x:v>
      </x:c>
      <x:c r="H30" t="str">
        <x:v>Webinar</x:v>
      </x:c>
      <x:c r="I30" t="str">
        <x:v>Closed-Won</x:v>
      </x:c>
      <x:c r="J30" t="str">
        <x:v>Casey Patel</x:v>
      </x:c>
      <x:c r="K30" s="6" t="n">
        <x:v>46223</x:v>
      </x:c>
      <x:c r="L30" s="6" t="n">
        <x:v>46238</x:v>
      </x:c>
      <x:c r="M30" s="6"/>
      <x:c r="N30" s="8" t="n">
        <x:v>31200</x:v>
      </x:c>
      <x:c r="O30" t="str">
        <x:v>Manufacturing</x:v>
      </x:c>
      <x:c r="P30" t="str">
        <x:v>Yes</x:v>
      </x:c>
      <x:c r="Q30" t="str">
        <x:v>Yes</x:v>
      </x:c>
      <x:c r="R30" s="6" t="n">
        <x:v>46243</x:v>
      </x:c>
    </x:row>
    <x:row r="31">
      <x:c r="A31" t="str">
        <x:v>L-0030</x:v>
      </x:c>
      <x:c r="B31" t="str">
        <x:v>olivia</x:v>
      </x:c>
      <x:c r="C31" t="str">
        <x:v>Martin</x:v>
      </x:c>
      <x:c r="D31" t="str">
        <x:v>Pioneer Tech</x:v>
      </x:c>
      <x:c r="E31" t="str"/>
      <x:c r="F31" t="str">
        <x:v>(325) 229-4920</x:v>
      </x:c>
      <x:c r="G31" t="str">
        <x:v>OH</x:v>
      </x:c>
      <x:c r="H31" t="str">
        <x:v>WEBINAR</x:v>
      </x:c>
      <x:c r="I31" t="str">
        <x:v>new</x:v>
      </x:c>
      <x:c r="J31" t="str">
        <x:v>Morgan Reed</x:v>
      </x:c>
      <x:c r="K31" s="6" t="n">
        <x:v>46178</x:v>
      </x:c>
      <x:c r="L31" s="6" t="n">
        <x:v>46248</x:v>
      </x:c>
      <x:c r="M31" s="6" t="n">
        <x:v>46255</x:v>
      </x:c>
      <x:c r="N31" s="8" t="n">
        <x:v>79000</x:v>
      </x:c>
      <x:c r="O31" t="str">
        <x:v>Logistics</x:v>
      </x:c>
      <x:c r="P31" t="str">
        <x:v>No</x:v>
      </x:c>
      <x:c r="Q31" t="str">
        <x:v>No</x:v>
      </x:c>
      <x:c r="R31" s="6"/>
    </x:row>
    <x:row r="32">
      <x:c r="A32" t="str">
        <x:v>L-0031</x:v>
      </x:c>
      <x:c r="B32" t="str">
        <x:v>Sophia</x:v>
      </x:c>
      <x:c r="C32" t="str">
        <x:v>Taylor</x:v>
      </x:c>
      <x:c r="D32" t="str">
        <x:v>Atlas Commerce</x:v>
      </x:c>
      <x:c r="E32" t="str">
        <x:v>sophia.taylor885@northmail.com</x:v>
      </x:c>
      <x:c r="F32" t="str"/>
      <x:c r="G32" t="str">
        <x:v>FL</x:v>
      </x:c>
      <x:c r="H32" t="str">
        <x:v>webinar</x:v>
      </x:c>
      <x:c r="I32" t="str">
        <x:v>NEW</x:v>
      </x:c>
      <x:c r="J32" t="str">
        <x:v>Taylor Morgan</x:v>
      </x:c>
      <x:c r="K32" s="6" t="n">
        <x:v>46198</x:v>
      </x:c>
      <x:c r="L32" s="6" t="n">
        <x:v>46236</x:v>
      </x:c>
      <x:c r="M32" s="6" t="n">
        <x:v>46255</x:v>
      </x:c>
      <x:c r="N32" s="8" t="n">
        <x:v>64100</x:v>
      </x:c>
      <x:c r="O32" t="str">
        <x:v>Logistics</x:v>
      </x:c>
      <x:c r="P32" t="str">
        <x:v>No</x:v>
      </x:c>
      <x:c r="Q32" t="str">
        <x:v>No</x:v>
      </x:c>
      <x:c r="R32" s="6"/>
    </x:row>
    <x:row r="33">
      <x:c r="A33" t="str">
        <x:v>L-0032</x:v>
      </x:c>
      <x:c r="B33" t="str">
        <x:v>Amelia</x:v>
      </x:c>
      <x:c r="C33" t="str">
        <x:v>Moore</x:v>
      </x:c>
      <x:c r="D33" t="str">
        <x:v>Redstone Consulting</x:v>
      </x:c>
      <x:c r="E33" t="str">
        <x:v>amelia.moore723@mailhub.net</x:v>
      </x:c>
      <x:c r="F33" t="str">
        <x:v>(596) 879-3492</x:v>
      </x:c>
      <x:c r="G33" t="str">
        <x:v>PA</x:v>
      </x:c>
      <x:c r="H33" t="str">
        <x:v>website</x:v>
      </x:c>
      <x:c r="I33" t="str">
        <x:v>Contacted</x:v>
      </x:c>
      <x:c r="J33" t="str"/>
      <x:c r="K33" s="6" t="n">
        <x:v>46048</x:v>
      </x:c>
      <x:c r="L33" s="6" t="n">
        <x:v>46153</x:v>
      </x:c>
      <x:c r="M33" s="6" t="n">
        <x:v>46157</x:v>
      </x:c>
      <x:c r="N33" s="8" t="n">
        <x:v>28700</x:v>
      </x:c>
      <x:c r="O33" t="str">
        <x:v>Retail</x:v>
      </x:c>
      <x:c r="P33" t="str">
        <x:v>No</x:v>
      </x:c>
      <x:c r="Q33" t="str">
        <x:v>No</x:v>
      </x:c>
      <x:c r="R33" s="6"/>
    </x:row>
    <x:row r="34">
      <x:c r="A34" t="str">
        <x:v>L-0033</x:v>
      </x:c>
      <x:c r="B34" t="str">
        <x:v>Benjamin</x:v>
      </x:c>
      <x:c r="C34" t="str">
        <x:v>Rodriguez</x:v>
      </x:c>
      <x:c r="D34" t="str">
        <x:v>redstone consulting</x:v>
      </x:c>
      <x:c r="E34" t="str">
        <x:v>benjamin.rodriguez736@mailhub.net</x:v>
      </x:c>
      <x:c r="F34" t="str">
        <x:v>(755) 236-2121</x:v>
      </x:c>
      <x:c r="G34" t="str">
        <x:v>OH</x:v>
      </x:c>
      <x:c r="H34" t="str">
        <x:v>Website</x:v>
      </x:c>
      <x:c r="I34" t="str">
        <x:v>Contacted</x:v>
      </x:c>
      <x:c r="J34" t="str">
        <x:v>Jamie Brooks</x:v>
      </x:c>
      <x:c r="K34" s="6" t="n">
        <x:v>46074</x:v>
      </x:c>
      <x:c r="L34" s="6" t="n">
        <x:v>46210</x:v>
      </x:c>
      <x:c r="M34" s="6" t="n">
        <x:v>46225</x:v>
      </x:c>
      <x:c r="N34" s="8" t="n">
        <x:v>81200</x:v>
      </x:c>
      <x:c r="O34" t="str">
        <x:v>Professional Services</x:v>
      </x:c>
      <x:c r="P34" t="str">
        <x:v>No</x:v>
      </x:c>
      <x:c r="Q34" t="str">
        <x:v>No</x:v>
      </x:c>
      <x:c r="R34" s="6"/>
    </x:row>
    <x:row r="35">
      <x:c r="A35" t="str">
        <x:v>L-0034</x:v>
      </x:c>
      <x:c r="B35" t="str">
        <x:v>Liam</x:v>
      </x:c>
      <x:c r="C35" t="str">
        <x:v>Martinez</x:v>
      </x:c>
      <x:c r="D35" t="str">
        <x:v>Pioneer Tech</x:v>
      </x:c>
      <x:c r="E35" t="str">
        <x:v>liam.martinez892@mailhub.net</x:v>
      </x:c>
      <x:c r="F35" t="str">
        <x:v>835-899-4945</x:v>
      </x:c>
      <x:c r="G35" t="str">
        <x:v>AZ</x:v>
      </x:c>
      <x:c r="H35" t="str">
        <x:v>WEB</x:v>
      </x:c>
      <x:c r="I35" t="str">
        <x:v>QUALIFIED</x:v>
      </x:c>
      <x:c r="J35" t="str">
        <x:v>Alex Kim</x:v>
      </x:c>
      <x:c r="K35" s="6" t="n">
        <x:v>46102</x:v>
      </x:c>
      <x:c r="L35" s="6" t="n">
        <x:v>46148</x:v>
      </x:c>
      <x:c r="M35" s="6" t="n">
        <x:v>46156</x:v>
      </x:c>
      <x:c r="N35" s="8" t="n">
        <x:v>16900</x:v>
      </x:c>
      <x:c r="O35" t="str">
        <x:v>Biotech</x:v>
      </x:c>
      <x:c r="P35" t="str">
        <x:v>Yes</x:v>
      </x:c>
      <x:c r="Q35" t="str">
        <x:v>No</x:v>
      </x:c>
      <x:c r="R35" s="6"/>
    </x:row>
    <x:row r="36">
      <x:c r="A36" t="str">
        <x:v>L-0035</x:v>
      </x:c>
      <x:c r="B36" t="str">
        <x:v>James</x:v>
      </x:c>
      <x:c r="C36" t="str">
        <x:v>Rodriguez</x:v>
      </x:c>
      <x:c r="D36" t="str">
        <x:v>Prairie Health</x:v>
      </x:c>
      <x:c r="E36" t="str">
        <x:v>james.rodriguez589@prospect.co</x:v>
      </x:c>
      <x:c r="F36" t="str">
        <x:v>(917) 502-1359</x:v>
      </x:c>
      <x:c r="G36" t="str">
        <x:v>FL</x:v>
      </x:c>
      <x:c r="H36" t="str">
        <x:v>outbound</x:v>
      </x:c>
      <x:c r="I36" t="str">
        <x:v>WON</x:v>
      </x:c>
      <x:c r="J36" t="str">
        <x:v> Casey Patel </x:v>
      </x:c>
      <x:c r="K36" s="6" t="n">
        <x:v>46219</x:v>
      </x:c>
      <x:c r="L36" s="6" t="n">
        <x:v>46234</x:v>
      </x:c>
      <x:c r="M36" s="6"/>
      <x:c r="N36" s="8" t="n">
        <x:v>34000</x:v>
      </x:c>
      <x:c r="O36" t="str">
        <x:v>Financial Services</x:v>
      </x:c>
      <x:c r="P36" t="str">
        <x:v>Yes</x:v>
      </x:c>
      <x:c r="Q36" t="str">
        <x:v>Yes</x:v>
      </x:c>
      <x:c r="R36" s="6" t="n">
        <x:v>46234</x:v>
      </x:c>
    </x:row>
    <x:row r="37">
      <x:c r="A37" t="str">
        <x:v>L-0036</x:v>
      </x:c>
      <x:c r="B37" t="str">
        <x:v>Olivia</x:v>
      </x:c>
      <x:c r="C37" t="str">
        <x:v>Thompson</x:v>
      </x:c>
      <x:c r="D37" t="str">
        <x:v>Horizon Bio</x:v>
      </x:c>
      <x:c r="E37" t="str">
        <x:v>olivia.thompson750@examplebiz.com</x:v>
      </x:c>
      <x:c r="F37" t="str">
        <x:v>(293) 502-6352</x:v>
      </x:c>
      <x:c r="G37" t="str">
        <x:v>OH</x:v>
      </x:c>
      <x:c r="H37" t="str">
        <x:v>WEB</x:v>
      </x:c>
      <x:c r="I37" t="str">
        <x:v>OPP</x:v>
      </x:c>
      <x:c r="J37" t="str">
        <x:v>Casey Patel</x:v>
      </x:c>
      <x:c r="K37" s="6" t="n">
        <x:v>46236</x:v>
      </x:c>
      <x:c r="L37" s="6" t="n">
        <x:v>46245</x:v>
      </x:c>
      <x:c r="M37" s="6" t="n">
        <x:v>46262</x:v>
      </x:c>
      <x:c r="N37" s="8" t="n">
        <x:v>5300</x:v>
      </x:c>
      <x:c r="O37" t="str">
        <x:v>Manufacturing</x:v>
      </x:c>
      <x:c r="P37" t="str">
        <x:v>Yes</x:v>
      </x:c>
      <x:c r="Q37" t="str">
        <x:v>No</x:v>
      </x:c>
      <x:c r="R37" s="6"/>
    </x:row>
    <x:row r="38">
      <x:c r="A38" t="str">
        <x:v>L-0037</x:v>
      </x:c>
      <x:c r="B38" t="str">
        <x:v>Noah</x:v>
      </x:c>
      <x:c r="C38" t="str">
        <x:v>Moore</x:v>
      </x:c>
      <x:c r="D38" t="str">
        <x:v>BrightPath Health</x:v>
      </x:c>
      <x:c r="E38" t="str">
        <x:v>noah.moore15@prospect.co</x:v>
      </x:c>
      <x:c r="F38" t="str">
        <x:v>(750) 326-8451</x:v>
      </x:c>
      <x:c r="G38" t="str">
        <x:v>FL</x:v>
      </x:c>
      <x:c r="H38" t="str">
        <x:v>email campaign</x:v>
      </x:c>
      <x:c r="I38" t="str">
        <x:v>OPP</x:v>
      </x:c>
      <x:c r="J38" t="str">
        <x:v>MORGAN REED</x:v>
      </x:c>
      <x:c r="K38" s="6" t="n">
        <x:v>46145</x:v>
      </x:c>
      <x:c r="L38" s="6" t="n">
        <x:v>46247</x:v>
      </x:c>
      <x:c r="M38" s="6" t="n">
        <x:v>46267</x:v>
      </x:c>
      <x:c r="N38" s="8" t="n">
        <x:v>32700</x:v>
      </x:c>
      <x:c r="O38" t="str">
        <x:v>Manufacturing</x:v>
      </x:c>
      <x:c r="P38" t="str">
        <x:v>Yes</x:v>
      </x:c>
      <x:c r="Q38" t="str">
        <x:v>No</x:v>
      </x:c>
      <x:c r="R38" s="6"/>
    </x:row>
    <x:row r="39">
      <x:c r="A39" t="str">
        <x:v>L-0038</x:v>
      </x:c>
      <x:c r="B39" t="str">
        <x:v>Harper</x:v>
      </x:c>
      <x:c r="C39" t="str">
        <x:v>Martinez</x:v>
      </x:c>
      <x:c r="D39" t="str">
        <x:v>VERTEX SOLUTIONS</x:v>
      </x:c>
      <x:c r="E39" t="str">
        <x:v>harper.martinez139@mailhub.net</x:v>
      </x:c>
      <x:c r="F39" t="str">
        <x:v>(665) 579-9850</x:v>
      </x:c>
      <x:c r="G39" t="str">
        <x:v>CA</x:v>
      </x:c>
      <x:c r="H39" t="str">
        <x:v>website</x:v>
      </x:c>
      <x:c r="I39" t="str">
        <x:v>new</x:v>
      </x:c>
      <x:c r="J39" t="str">
        <x:v>alex kim</x:v>
      </x:c>
      <x:c r="K39" s="6" t="n">
        <x:v>46120</x:v>
      </x:c>
      <x:c r="L39" s="6" t="n">
        <x:v>46149</x:v>
      </x:c>
      <x:c r="M39" s="6" t="n">
        <x:v>46155</x:v>
      </x:c>
      <x:c r="N39" s="8" t="n">
        <x:v>21900</x:v>
      </x:c>
      <x:c r="O39" t="str">
        <x:v>Technology</x:v>
      </x:c>
      <x:c r="P39" t="str">
        <x:v>No</x:v>
      </x:c>
      <x:c r="Q39" t="str">
        <x:v>No</x:v>
      </x:c>
      <x:c r="R39" s="6"/>
    </x:row>
    <x:row r="40">
      <x:c r="A40" t="str">
        <x:v>L-0039</x:v>
      </x:c>
      <x:c r="B40" t="str">
        <x:v>Logan</x:v>
      </x:c>
      <x:c r="C40" t="str">
        <x:v>lee</x:v>
      </x:c>
      <x:c r="D40" t="str">
        <x:v>Pioneer Tech</x:v>
      </x:c>
      <x:c r="E40" t="str">
        <x:v> logan.lee658@northmail.com </x:v>
      </x:c>
      <x:c r="F40" t="str">
        <x:v>(252) 541-4990</x:v>
      </x:c>
      <x:c r="G40" t="str">
        <x:v>AZ</x:v>
      </x:c>
      <x:c r="H40" t="str">
        <x:v>referral</x:v>
      </x:c>
      <x:c r="I40" t="str">
        <x:v>closed lost</x:v>
      </x:c>
      <x:c r="J40" t="str">
        <x:v>Taylor Morgan</x:v>
      </x:c>
      <x:c r="K40" s="6" t="n">
        <x:v>46036</x:v>
      </x:c>
      <x:c r="L40" s="6" t="n">
        <x:v>46152</x:v>
      </x:c>
      <x:c r="M40" s="6"/>
      <x:c r="N40" s="8" t="n">
        <x:v>10100</x:v>
      </x:c>
      <x:c r="O40" t="str">
        <x:v>Healthcare</x:v>
      </x:c>
      <x:c r="P40" t="str">
        <x:v>Yes</x:v>
      </x:c>
      <x:c r="Q40" t="str">
        <x:v>No</x:v>
      </x:c>
      <x:c r="R40" s="6" t="n">
        <x:v>46155</x:v>
      </x:c>
    </x:row>
    <x:row r="41">
      <x:c r="A41" t="str">
        <x:v>L-0040</x:v>
      </x:c>
      <x:c r="B41" t="str">
        <x:v>Ethan</x:v>
      </x:c>
      <x:c r="C41" t="str">
        <x:v>BROWN</x:v>
      </x:c>
      <x:c r="D41" t="str">
        <x:v>Northstar Labs</x:v>
      </x:c>
      <x:c r="E41" t="str">
        <x:v>ethan.brown54@examplebiz.com</x:v>
      </x:c>
      <x:c r="F41" t="str">
        <x:v>(960) 631-9619</x:v>
      </x:c>
      <x:c r="G41" t="str">
        <x:v>CO</x:v>
      </x:c>
      <x:c r="H41" t="str">
        <x:v> Referal </x:v>
      </x:c>
      <x:c r="I41" t="str">
        <x:v>Closed Won</x:v>
      </x:c>
      <x:c r="J41" t="str">
        <x:v>CASEY PATEL</x:v>
      </x:c>
      <x:c r="K41" s="6" t="n">
        <x:v>46096</x:v>
      </x:c>
      <x:c r="L41" s="6" t="n">
        <x:v>46178</x:v>
      </x:c>
      <x:c r="M41" s="6"/>
      <x:c r="N41" s="8" t="n">
        <x:v>3800</x:v>
      </x:c>
      <x:c r="O41" t="str">
        <x:v>Manufacturing</x:v>
      </x:c>
      <x:c r="P41" t="str">
        <x:v>Yes</x:v>
      </x:c>
      <x:c r="Q41" t="str">
        <x:v>Yes</x:v>
      </x:c>
      <x:c r="R41" s="6" t="n">
        <x:v>46181</x:v>
      </x:c>
    </x:row>
    <x:row r="42">
      <x:c r="A42" t="str">
        <x:v>L-0041</x:v>
      </x:c>
      <x:c r="B42" t="str">
        <x:v>Benjamin</x:v>
      </x:c>
      <x:c r="C42" t="str">
        <x:v>Thomas</x:v>
      </x:c>
      <x:c r="D42" t="str">
        <x:v>Vertex Solutions</x:v>
      </x:c>
      <x:c r="E42" t="str">
        <x:v>benjamin.thomas282@prospect.co</x:v>
      </x:c>
      <x:c r="F42" t="str">
        <x:v>(591) 811-9692</x:v>
      </x:c>
      <x:c r="G42" t="str">
        <x:v>NC</x:v>
      </x:c>
      <x:c r="H42" t="str">
        <x:v>Linked In</x:v>
      </x:c>
      <x:c r="I42" t="str">
        <x:v>QUALIFIED</x:v>
      </x:c>
      <x:c r="J42" t="str">
        <x:v>Taylor Morgan</x:v>
      </x:c>
      <x:c r="K42" s="6" t="n">
        <x:v>46226</x:v>
      </x:c>
      <x:c r="L42" s="6" t="n">
        <x:v>46236</x:v>
      </x:c>
      <x:c r="M42" s="6" t="n">
        <x:v>46258</x:v>
      </x:c>
      <x:c r="N42" s="8" t="n">
        <x:v>14700</x:v>
      </x:c>
      <x:c r="O42" t="str">
        <x:v>Technology</x:v>
      </x:c>
      <x:c r="P42" t="str">
        <x:v>Yes</x:v>
      </x:c>
      <x:c r="Q42" t="str">
        <x:v>No</x:v>
      </x:c>
      <x:c r="R42" s="6"/>
    </x:row>
    <x:row r="43">
      <x:c r="A43" t="str">
        <x:v>L-0042</x:v>
      </x:c>
      <x:c r="B43" t="str">
        <x:v>Amelia</x:v>
      </x:c>
      <x:c r="C43" t="str">
        <x:v>Taylor</x:v>
      </x:c>
      <x:c r="D43" t="str">
        <x:v>Summit Analytics</x:v>
      </x:c>
      <x:c r="E43" t="str">
        <x:v>amelia.taylor96@mailhub.net</x:v>
      </x:c>
      <x:c r="F43" t="str">
        <x:v>(299) 962-7105</x:v>
      </x:c>
      <x:c r="G43" t="str">
        <x:v>AZ</x:v>
      </x:c>
      <x:c r="H43" t="str">
        <x:v>REFERRAL</x:v>
      </x:c>
      <x:c r="I43" t="str">
        <x:v>CONTACTED</x:v>
      </x:c>
      <x:c r="J43" t="str">
        <x:v>Jordan Lee</x:v>
      </x:c>
      <x:c r="K43" s="6" t="n">
        <x:v>46207</x:v>
      </x:c>
      <x:c r="L43" s="6" t="n">
        <x:v>46250</x:v>
      </x:c>
      <x:c r="M43" s="6" t="n">
        <x:v>46268</x:v>
      </x:c>
      <x:c r="N43" s="8" t="n">
        <x:v>8000</x:v>
      </x:c>
      <x:c r="O43" t="str">
        <x:v>Biotech</x:v>
      </x:c>
      <x:c r="P43" t="str">
        <x:v>No</x:v>
      </x:c>
      <x:c r="Q43" t="str">
        <x:v>No</x:v>
      </x:c>
      <x:c r="R43" s="6"/>
    </x:row>
    <x:row r="44">
      <x:c r="A44" t="str">
        <x:v>L-0043</x:v>
      </x:c>
      <x:c r="B44" t="str">
        <x:v>Luna</x:v>
      </x:c>
      <x:c r="C44" t="str">
        <x:v> Martin </x:v>
      </x:c>
      <x:c r="D44" t="str">
        <x:v>apex manufacturing</x:v>
      </x:c>
      <x:c r="E44" t="str">
        <x:v>luna.martin588@examplebiz.com</x:v>
      </x:c>
      <x:c r="F44" t="str"/>
      <x:c r="G44" t="str">
        <x:v>OH</x:v>
      </x:c>
      <x:c r="H44" t="str">
        <x:v>WEBINAR</x:v>
      </x:c>
      <x:c r="I44" t="str">
        <x:v>Closed Won</x:v>
      </x:c>
      <x:c r="J44" t="str">
        <x:v>casey patel</x:v>
      </x:c>
      <x:c r="K44" s="6" t="n">
        <x:v>46157</x:v>
      </x:c>
      <x:c r="L44" s="6" t="n">
        <x:v>46228</x:v>
      </x:c>
      <x:c r="M44" s="6"/>
      <x:c r="N44" s="8" t="n">
        <x:v>32800</x:v>
      </x:c>
      <x:c r="O44" t="str">
        <x:v>Manufacturing</x:v>
      </x:c>
      <x:c r="P44" t="str">
        <x:v>Yes</x:v>
      </x:c>
      <x:c r="Q44" t="str">
        <x:v>Yes</x:v>
      </x:c>
      <x:c r="R44" s="6" t="n">
        <x:v>46233</x:v>
      </x:c>
    </x:row>
    <x:row r="45">
      <x:c r="A45" t="str">
        <x:v>L-0044</x:v>
      </x:c>
      <x:c r="B45" t="str">
        <x:v>Evelyn</x:v>
      </x:c>
      <x:c r="C45" t="str">
        <x:v>miller</x:v>
      </x:c>
      <x:c r="D45" t="str">
        <x:v>Silverline Foods</x:v>
      </x:c>
      <x:c r="E45" t="str">
        <x:v>evelyn.miller160@examplebiz.com</x:v>
      </x:c>
      <x:c r="F45" t="str">
        <x:v>(973) 832-1815</x:v>
      </x:c>
      <x:c r="G45" t="str">
        <x:v>NC</x:v>
      </x:c>
      <x:c r="H45" t="str">
        <x:v> Referal </x:v>
      </x:c>
      <x:c r="I45" t="str">
        <x:v>CONTACTED</x:v>
      </x:c>
      <x:c r="J45" t="str">
        <x:v>JORDAN LEE</x:v>
      </x:c>
      <x:c r="K45" s="6" t="n">
        <x:v>46062</x:v>
      </x:c>
      <x:c r="L45" s="6" t="n">
        <x:v>46145</x:v>
      </x:c>
      <x:c r="M45" s="6" t="n">
        <x:v>46166</x:v>
      </x:c>
      <x:c r="N45" s="8" t="n">
        <x:v>51700</x:v>
      </x:c>
      <x:c r="O45" t="str">
        <x:v>Professional Services</x:v>
      </x:c>
      <x:c r="P45" t="str">
        <x:v>No</x:v>
      </x:c>
      <x:c r="Q45" t="str">
        <x:v>No</x:v>
      </x:c>
      <x:c r="R45" s="6"/>
    </x:row>
    <x:row r="46">
      <x:c r="A46" t="str">
        <x:v>L-0045</x:v>
      </x:c>
      <x:c r="B46" t="str">
        <x:v>Amelia</x:v>
      </x:c>
      <x:c r="C46" t="str">
        <x:v>Thompson</x:v>
      </x:c>
      <x:c r="D46" t="str">
        <x:v>Peakline Systems</x:v>
      </x:c>
      <x:c r="E46" t="str">
        <x:v> amelia.thompson510@mailhub.net </x:v>
      </x:c>
      <x:c r="F46" t="str">
        <x:v>(380) 332-7229</x:v>
      </x:c>
      <x:c r="G46" t="str">
        <x:v>FL</x:v>
      </x:c>
      <x:c r="H46" t="str">
        <x:v> Referal </x:v>
      </x:c>
      <x:c r="I46" t="str">
        <x:v>Contact</x:v>
      </x:c>
      <x:c r="J46" t="str">
        <x:v>Jordan Lee</x:v>
      </x:c>
      <x:c r="K46" s="6" t="n">
        <x:v>46211</x:v>
      </x:c>
      <x:c r="L46" s="6" t="n">
        <x:v>46227</x:v>
      </x:c>
      <x:c r="M46" s="6" t="n">
        <x:v>46239</x:v>
      </x:c>
      <x:c r="N46" s="8" t="n">
        <x:v>29600</x:v>
      </x:c>
      <x:c r="O46" t="str">
        <x:v>Healthcare</x:v>
      </x:c>
      <x:c r="P46" t="str">
        <x:v>No</x:v>
      </x:c>
      <x:c r="Q46" t="str">
        <x:v>No</x:v>
      </x:c>
      <x:c r="R46" s="6"/>
    </x:row>
    <x:row r="47">
      <x:c r="A47" t="str">
        <x:v>L-0046</x:v>
      </x:c>
      <x:c r="B47" t="str">
        <x:v>James</x:v>
      </x:c>
      <x:c r="C47" t="str">
        <x:v>martinez</x:v>
      </x:c>
      <x:c r="D47" t="str">
        <x:v>Summit Analytics</x:v>
      </x:c>
      <x:c r="E47" t="str">
        <x:v>james.martinez448@northmail.com</x:v>
      </x:c>
      <x:c r="F47" t="str">
        <x:v>(450) 646-7560</x:v>
      </x:c>
      <x:c r="G47" t="str">
        <x:v>CO</x:v>
      </x:c>
      <x:c r="H47" t="str">
        <x:v>outbound</x:v>
      </x:c>
      <x:c r="I47" t="str">
        <x:v>New</x:v>
      </x:c>
      <x:c r="J47" t="str">
        <x:v>jordan lee</x:v>
      </x:c>
      <x:c r="K47" s="6" t="n">
        <x:v>46088</x:v>
      </x:c>
      <x:c r="L47" s="6" t="n">
        <x:v>46205</x:v>
      </x:c>
      <x:c r="M47" s="6" t="n">
        <x:v>46230</x:v>
      </x:c>
      <x:c r="N47" s="8" t="n">
        <x:v>78400</x:v>
      </x:c>
      <x:c r="O47" t="str">
        <x:v>Professional Services</x:v>
      </x:c>
      <x:c r="P47" t="str">
        <x:v>No</x:v>
      </x:c>
      <x:c r="Q47" t="str">
        <x:v>No</x:v>
      </x:c>
      <x:c r="R47" s="6"/>
    </x:row>
    <x:row r="48">
      <x:c r="A48" t="str">
        <x:v>L-0047</x:v>
      </x:c>
      <x:c r="B48" t="str">
        <x:v>Sophia</x:v>
      </x:c>
      <x:c r="C48" t="str">
        <x:v>Miller</x:v>
      </x:c>
      <x:c r="D48" t="str">
        <x:v>CEDARWORKS</x:v>
      </x:c>
      <x:c r="E48" t="str">
        <x:v>sophia.miller779@mailhub.net</x:v>
      </x:c>
      <x:c r="F48" t="str">
        <x:v>898-778-6295</x:v>
      </x:c>
      <x:c r="G48" t="str">
        <x:v>OH</x:v>
      </x:c>
      <x:c r="H48" t="str">
        <x:v>WEB</x:v>
      </x:c>
      <x:c r="I48" t="str">
        <x:v>LOST</x:v>
      </x:c>
      <x:c r="J48" t="str">
        <x:v>ALEX KIM</x:v>
      </x:c>
      <x:c r="K48" s="6" t="n">
        <x:v>46086</x:v>
      </x:c>
      <x:c r="L48" s="6" t="n">
        <x:v>46212</x:v>
      </x:c>
      <x:c r="M48" s="6"/>
      <x:c r="N48" s="8" t="n">
        <x:v>40800</x:v>
      </x:c>
      <x:c r="O48" t="str">
        <x:v>Manufacturing</x:v>
      </x:c>
      <x:c r="P48" t="str">
        <x:v>Yes</x:v>
      </x:c>
      <x:c r="Q48" t="str">
        <x:v>No</x:v>
      </x:c>
      <x:c r="R48" s="6" t="n">
        <x:v>46216</x:v>
      </x:c>
    </x:row>
    <x:row r="49">
      <x:c r="A49" t="str">
        <x:v>L-0048</x:v>
      </x:c>
      <x:c r="B49" t="str">
        <x:v>Mia</x:v>
      </x:c>
      <x:c r="C49" t="str">
        <x:v> Thompson </x:v>
      </x:c>
      <x:c r="D49" t="str">
        <x:v>Silverline Foods</x:v>
      </x:c>
      <x:c r="E49" t="str">
        <x:v>mia.thompson668@examplebiz.com</x:v>
      </x:c>
      <x:c r="F49" t="str">
        <x:v>(530) 819-8792</x:v>
      </x:c>
      <x:c r="G49" t="str">
        <x:v>WA</x:v>
      </x:c>
      <x:c r="H49" t="str">
        <x:v>Tradeshow</x:v>
      </x:c>
      <x:c r="I49" t="str">
        <x:v>WON</x:v>
      </x:c>
      <x:c r="J49" t="str">
        <x:v>Alex Kim</x:v>
      </x:c>
      <x:c r="K49" s="6" t="n">
        <x:v>46236</x:v>
      </x:c>
      <x:c r="L49" s="6" t="n">
        <x:v>46250</x:v>
      </x:c>
      <x:c r="M49" s="6"/>
      <x:c r="N49" s="8" t="n">
        <x:v>77500</x:v>
      </x:c>
      <x:c r="O49" t="str">
        <x:v>Logistics</x:v>
      </x:c>
      <x:c r="P49" t="str">
        <x:v>Yes</x:v>
      </x:c>
      <x:c r="Q49" t="str">
        <x:v>Yes</x:v>
      </x:c>
      <x:c r="R49" s="6" t="n">
        <x:v>46251</x:v>
      </x:c>
    </x:row>
    <x:row r="50">
      <x:c r="A50" t="str">
        <x:v>L-0049</x:v>
      </x:c>
      <x:c r="B50" t="str">
        <x:v>lucas</x:v>
      </x:c>
      <x:c r="C50" t="str">
        <x:v>Thomas</x:v>
      </x:c>
      <x:c r="D50" t="str">
        <x:v>vertex solutions</x:v>
      </x:c>
      <x:c r="E50" t="str">
        <x:v>lucas.thomas572@mailhub.net</x:v>
      </x:c>
      <x:c r="F50" t="str">
        <x:v>(491) 458-3463</x:v>
      </x:c>
      <x:c r="G50" t="str">
        <x:v>OH</x:v>
      </x:c>
      <x:c r="H50" t="str">
        <x:v>trade show</x:v>
      </x:c>
      <x:c r="I50" t="str">
        <x:v>closed won</x:v>
      </x:c>
      <x:c r="J50" t="str">
        <x:v>Jordan Lee</x:v>
      </x:c>
      <x:c r="K50" s="6" t="n">
        <x:v>46081</x:v>
      </x:c>
      <x:c r="L50" s="6" t="n">
        <x:v>46166</x:v>
      </x:c>
      <x:c r="M50" s="6"/>
      <x:c r="N50" s="8" t="n">
        <x:v>7900</x:v>
      </x:c>
      <x:c r="O50" t="str">
        <x:v>Biotech</x:v>
      </x:c>
      <x:c r="P50" t="str">
        <x:v>Yes</x:v>
      </x:c>
      <x:c r="Q50" t="str">
        <x:v>Yes</x:v>
      </x:c>
      <x:c r="R50" s="6" t="n">
        <x:v>46172</x:v>
      </x:c>
    </x:row>
    <x:row r="51">
      <x:c r="A51" t="str">
        <x:v>L-0050</x:v>
      </x:c>
      <x:c r="B51" t="str">
        <x:v>evelyn</x:v>
      </x:c>
      <x:c r="C51" t="str">
        <x:v>Williams</x:v>
      </x:c>
      <x:c r="D51" t="str">
        <x:v> Vertex Solutions </x:v>
      </x:c>
      <x:c r="E51" t="str">
        <x:v>evelyn.williams159@northmail.com</x:v>
      </x:c>
      <x:c r="F51" t="str">
        <x:v>(503) 303-9317</x:v>
      </x:c>
      <x:c r="G51" t="str">
        <x:v>CO</x:v>
      </x:c>
      <x:c r="H51" t="str">
        <x:v>referral</x:v>
      </x:c>
      <x:c r="I51" t="str">
        <x:v>NEW</x:v>
      </x:c>
      <x:c r="J51" t="str">
        <x:v>Taylor Morgan</x:v>
      </x:c>
      <x:c r="K51" s="6" t="n">
        <x:v>46192</x:v>
      </x:c>
      <x:c r="L51" s="6" t="n">
        <x:v>46213</x:v>
      </x:c>
      <x:c r="M51" s="6" t="n">
        <x:v>46231</x:v>
      </x:c>
      <x:c r="N51" s="8" t="n">
        <x:v>18300</x:v>
      </x:c>
      <x:c r="O51" t="str">
        <x:v>Biotech</x:v>
      </x:c>
      <x:c r="P51" t="str">
        <x:v>No</x:v>
      </x:c>
      <x:c r="Q51" t="str">
        <x:v>No</x:v>
      </x:c>
      <x:c r="R51" s="6"/>
    </x:row>
    <x:row r="52">
      <x:c r="A52" t="str">
        <x:v>L-0051</x:v>
      </x:c>
      <x:c r="B52" t="str">
        <x:v>James</x:v>
      </x:c>
      <x:c r="C52" t="str">
        <x:v>anderson</x:v>
      </x:c>
      <x:c r="D52" t="str">
        <x:v>Clearview Media</x:v>
      </x:c>
      <x:c r="E52" t="str">
        <x:v>james.anderson926@examplebiz.com</x:v>
      </x:c>
      <x:c r="F52" t="str">
        <x:v>(577) 894-8218</x:v>
      </x:c>
      <x:c r="G52" t="str">
        <x:v>WA</x:v>
      </x:c>
      <x:c r="H52" t="str">
        <x:v>Referral</x:v>
      </x:c>
      <x:c r="I52" t="str">
        <x:v>OPP</x:v>
      </x:c>
      <x:c r="J52" t="str">
        <x:v>Morgan Reed</x:v>
      </x:c>
      <x:c r="K52" s="6" t="n">
        <x:v>46132</x:v>
      </x:c>
      <x:c r="L52" s="6" t="n">
        <x:v>46161</x:v>
      </x:c>
      <x:c r="M52" s="6" t="n">
        <x:v>46181</x:v>
      </x:c>
      <x:c r="N52" s="8" t="n">
        <x:v>22200</x:v>
      </x:c>
      <x:c r="O52" t="str">
        <x:v>Logistics</x:v>
      </x:c>
      <x:c r="P52" t="str">
        <x:v>Yes</x:v>
      </x:c>
      <x:c r="Q52" t="str">
        <x:v>No</x:v>
      </x:c>
      <x:c r="R52" s="6"/>
    </x:row>
    <x:row r="53">
      <x:c r="A53" t="str">
        <x:v>L-0052</x:v>
      </x:c>
      <x:c r="B53" t="str">
        <x:v>Noah</x:v>
      </x:c>
      <x:c r="C53" t="str">
        <x:v>Martinez</x:v>
      </x:c>
      <x:c r="D53" t="str"/>
      <x:c r="E53" t="str">
        <x:v>logan.moore73@northmail.com</x:v>
      </x:c>
      <x:c r="F53" t="str">
        <x:v>(558) 227-7797</x:v>
      </x:c>
      <x:c r="G53" t="str">
        <x:v>NY</x:v>
      </x:c>
      <x:c r="H53" t="str">
        <x:v>webinar</x:v>
      </x:c>
      <x:c r="I53" t="str">
        <x:v>Qual</x:v>
      </x:c>
      <x:c r="J53" t="str">
        <x:v>Taylor Morgan</x:v>
      </x:c>
      <x:c r="K53" s="6" t="n">
        <x:v>46034</x:v>
      </x:c>
      <x:c r="L53" s="6" t="n">
        <x:v>46145</x:v>
      </x:c>
      <x:c r="M53" s="6" t="n">
        <x:v>46150</x:v>
      </x:c>
      <x:c r="N53" s="8" t="n">
        <x:v>80600</x:v>
      </x:c>
      <x:c r="O53" t="str">
        <x:v>Manufacturing</x:v>
      </x:c>
      <x:c r="P53" t="str">
        <x:v>Yes</x:v>
      </x:c>
      <x:c r="Q53" t="str">
        <x:v>No</x:v>
      </x:c>
      <x:c r="R53" s="6"/>
    </x:row>
    <x:row r="54">
      <x:c r="A54" t="str">
        <x:v>L-0053</x:v>
      </x:c>
      <x:c r="B54" t="str">
        <x:v>Emma</x:v>
      </x:c>
      <x:c r="C54" t="str">
        <x:v>JACKSON</x:v>
      </x:c>
      <x:c r="D54" t="str"/>
      <x:c r="E54" t="str">
        <x:v>emma.jackson795@prospect.co</x:v>
      </x:c>
      <x:c r="F54" t="str">
        <x:v>(444) 508-2996</x:v>
      </x:c>
      <x:c r="G54" t="str">
        <x:v>TX</x:v>
      </x:c>
      <x:c r="H54" t="str">
        <x:v>website</x:v>
      </x:c>
      <x:c r="I54" t="str">
        <x:v>CONTACTED</x:v>
      </x:c>
      <x:c r="J54" t="str">
        <x:v>Jordan Lee</x:v>
      </x:c>
      <x:c r="K54" s="6" t="n">
        <x:v>46208</x:v>
      </x:c>
      <x:c r="L54" s="6" t="n">
        <x:v>46243</x:v>
      </x:c>
      <x:c r="M54" s="6" t="n">
        <x:v>46265</x:v>
      </x:c>
      <x:c r="N54" s="8" t="n">
        <x:v>46000</x:v>
      </x:c>
      <x:c r="O54" t="str">
        <x:v>Healthcare</x:v>
      </x:c>
      <x:c r="P54" t="str">
        <x:v>No</x:v>
      </x:c>
      <x:c r="Q54" t="str">
        <x:v>No</x:v>
      </x:c>
      <x:c r="R54" s="6"/>
    </x:row>
    <x:row r="55">
      <x:c r="A55" t="str">
        <x:v>L-0054</x:v>
      </x:c>
      <x:c r="B55" t="str">
        <x:v>Henry</x:v>
      </x:c>
      <x:c r="C55" t="str">
        <x:v>Anderson</x:v>
      </x:c>
      <x:c r="D55" t="str">
        <x:v>Clearview Media</x:v>
      </x:c>
      <x:c r="E55" t="str">
        <x:v>henry.anderson568@northmail.com</x:v>
      </x:c>
      <x:c r="F55" t="str"/>
      <x:c r="G55" t="str">
        <x:v>CA</x:v>
      </x:c>
      <x:c r="H55" t="str">
        <x:v>LinkedIn</x:v>
      </x:c>
      <x:c r="I55" t="str">
        <x:v>new</x:v>
      </x:c>
      <x:c r="J55" t="str">
        <x:v>Alex Kim</x:v>
      </x:c>
      <x:c r="K55" s="6" t="n">
        <x:v>46154</x:v>
      </x:c>
      <x:c r="L55" s="6" t="n">
        <x:v>46162</x:v>
      </x:c>
      <x:c r="M55" s="6" t="n">
        <x:v>46181</x:v>
      </x:c>
      <x:c r="N55" s="8" t="n">
        <x:v>47400</x:v>
      </x:c>
      <x:c r="O55" t="str">
        <x:v>Professional Services</x:v>
      </x:c>
      <x:c r="P55" t="str">
        <x:v>No</x:v>
      </x:c>
      <x:c r="Q55" t="str">
        <x:v>No</x:v>
      </x:c>
      <x:c r="R55" s="6"/>
    </x:row>
    <x:row r="56">
      <x:c r="A56" t="str">
        <x:v>L-0055</x:v>
      </x:c>
      <x:c r="B56" t="str">
        <x:v>Ethan</x:v>
      </x:c>
      <x:c r="C56" t="str">
        <x:v>MOORE</x:v>
      </x:c>
      <x:c r="D56" t="str">
        <x:v>Atlas Commerce</x:v>
      </x:c>
      <x:c r="E56" t="str">
        <x:v>ethan.moore811@examplebiz.com</x:v>
      </x:c>
      <x:c r="F56" t="str">
        <x:v>(243) 523-6080</x:v>
      </x:c>
      <x:c r="G56" t="str">
        <x:v>CA</x:v>
      </x:c>
      <x:c r="H56" t="str">
        <x:v> Website </x:v>
      </x:c>
      <x:c r="I56" t="str">
        <x:v>Closed-Won</x:v>
      </x:c>
      <x:c r="J56" t="str">
        <x:v>Jordan Lee</x:v>
      </x:c>
      <x:c r="K56" s="6" t="n">
        <x:v>46129</x:v>
      </x:c>
      <x:c r="L56" s="6" t="n">
        <x:v>46133</x:v>
      </x:c>
      <x:c r="M56" s="6"/>
      <x:c r="N56" s="8" t="n">
        <x:v>26700</x:v>
      </x:c>
      <x:c r="O56" t="str">
        <x:v>Manufacturing</x:v>
      </x:c>
      <x:c r="P56" t="str">
        <x:v>Yes</x:v>
      </x:c>
      <x:c r="Q56" t="str">
        <x:v>Yes</x:v>
      </x:c>
      <x:c r="R56" s="6" t="n">
        <x:v>46138</x:v>
      </x:c>
    </x:row>
    <x:row r="57">
      <x:c r="A57" t="str">
        <x:v>L-0056</x:v>
      </x:c>
      <x:c r="B57" t="str">
        <x:v> Amelia </x:v>
      </x:c>
      <x:c r="C57" t="str">
        <x:v>Wilson</x:v>
      </x:c>
      <x:c r="D57" t="str">
        <x:v>CedarWorks</x:v>
      </x:c>
      <x:c r="E57" t="str">
        <x:v>amelia.wilson435@northmail.com</x:v>
      </x:c>
      <x:c r="F57" t="str">
        <x:v>(641) 816-3956</x:v>
      </x:c>
      <x:c r="G57" t="str">
        <x:v>PA</x:v>
      </x:c>
      <x:c r="H57" t="str">
        <x:v>WEBINAR</x:v>
      </x:c>
      <x:c r="I57" t="str">
        <x:v>Closed-Lost</x:v>
      </x:c>
      <x:c r="J57" t="str">
        <x:v>Jamie Brooks</x:v>
      </x:c>
      <x:c r="K57" s="6" t="n">
        <x:v>46114</x:v>
      </x:c>
      <x:c r="L57" s="6" t="n">
        <x:v>46182</x:v>
      </x:c>
      <x:c r="M57" s="6"/>
      <x:c r="N57" s="8" t="n">
        <x:v>68600</x:v>
      </x:c>
      <x:c r="O57" t="str">
        <x:v>Logistics</x:v>
      </x:c>
      <x:c r="P57" t="str">
        <x:v>Yes</x:v>
      </x:c>
      <x:c r="Q57" t="str">
        <x:v>No</x:v>
      </x:c>
      <x:c r="R57" s="6" t="n">
        <x:v>46188</x:v>
      </x:c>
    </x:row>
    <x:row r="58">
      <x:c r="A58" t="str">
        <x:v>L-0057</x:v>
      </x:c>
      <x:c r="B58" t="str">
        <x:v>Liam</x:v>
      </x:c>
      <x:c r="C58" t="str">
        <x:v>WILLIAMS</x:v>
      </x:c>
      <x:c r="D58" t="str">
        <x:v>silverline foods</x:v>
      </x:c>
      <x:c r="E58" t="str"/>
      <x:c r="F58" t="str">
        <x:v>(269) 441-7001</x:v>
      </x:c>
      <x:c r="G58" t="str">
        <x:v>GA</x:v>
      </x:c>
      <x:c r="H58" t="str">
        <x:v>EMAIL</x:v>
      </x:c>
      <x:c r="I58" t="str">
        <x:v>OPP</x:v>
      </x:c>
      <x:c r="J58" t="str">
        <x:v>Morgan Reed</x:v>
      </x:c>
      <x:c r="K58" s="6" t="n">
        <x:v>46239</x:v>
      </x:c>
      <x:c r="L58" s="6" t="n">
        <x:v>46241</x:v>
      </x:c>
      <x:c r="M58" s="6" t="n">
        <x:v>46263</x:v>
      </x:c>
      <x:c r="N58" s="8" t="n">
        <x:v>58400</x:v>
      </x:c>
      <x:c r="O58" t="str">
        <x:v>Biotech</x:v>
      </x:c>
      <x:c r="P58" t="str">
        <x:v>Yes</x:v>
      </x:c>
      <x:c r="Q58" t="str">
        <x:v>No</x:v>
      </x:c>
      <x:c r="R58" s="6"/>
    </x:row>
    <x:row r="59">
      <x:c r="A59" t="str">
        <x:v>L-0058</x:v>
      </x:c>
      <x:c r="B59" t="str">
        <x:v>Noah</x:v>
      </x:c>
      <x:c r="C59" t="str">
        <x:v>Smith</x:v>
      </x:c>
      <x:c r="D59" t="str">
        <x:v>CedarWorks</x:v>
      </x:c>
      <x:c r="E59" t="str">
        <x:v> noah.smith293@mailhub.net </x:v>
      </x:c>
      <x:c r="F59" t="str">
        <x:v>(405) 325-3223</x:v>
      </x:c>
      <x:c r="G59" t="str">
        <x:v>GA</x:v>
      </x:c>
      <x:c r="H59" t="str">
        <x:v>REFERRAL</x:v>
      </x:c>
      <x:c r="I59" t="str">
        <x:v>qualified</x:v>
      </x:c>
      <x:c r="J59" t="str">
        <x:v>Alex Kim</x:v>
      </x:c>
      <x:c r="K59" s="6" t="n">
        <x:v>46179</x:v>
      </x:c>
      <x:c r="L59" s="6" t="n">
        <x:v>46212</x:v>
      </x:c>
      <x:c r="M59" s="6" t="n">
        <x:v>46237</x:v>
      </x:c>
      <x:c r="N59" s="8" t="n">
        <x:v>39300</x:v>
      </x:c>
      <x:c r="O59" t="str">
        <x:v>Logistics</x:v>
      </x:c>
      <x:c r="P59" t="str">
        <x:v>Yes</x:v>
      </x:c>
      <x:c r="Q59" t="str">
        <x:v>No</x:v>
      </x:c>
      <x:c r="R59" s="6"/>
    </x:row>
    <x:row r="60">
      <x:c r="A60" t="str">
        <x:v>L-0059</x:v>
      </x:c>
      <x:c r="B60" t="str">
        <x:v>ETHAN</x:v>
      </x:c>
      <x:c r="C60" t="str">
        <x:v>Anderson</x:v>
      </x:c>
      <x:c r="D60" t="str">
        <x:v>Clearview Media</x:v>
      </x:c>
      <x:c r="E60" t="str">
        <x:v>ethan.anderson479@examplebiz.com</x:v>
      </x:c>
      <x:c r="F60" t="str">
        <x:v>(827) 288-2077</x:v>
      </x:c>
      <x:c r="G60" t="str">
        <x:v>FL</x:v>
      </x:c>
      <x:c r="H60" t="str">
        <x:v>EMAIL</x:v>
      </x:c>
      <x:c r="I60" t="str">
        <x:v>contacted</x:v>
      </x:c>
      <x:c r="J60" t="str">
        <x:v>Casey Patel</x:v>
      </x:c>
      <x:c r="K60" s="6" t="n">
        <x:v>46120</x:v>
      </x:c>
      <x:c r="L60" s="6" t="n">
        <x:v>46126</x:v>
      </x:c>
      <x:c r="M60" s="6" t="n">
        <x:v>46140</x:v>
      </x:c>
      <x:c r="N60" s="8" t="n">
        <x:v>48200</x:v>
      </x:c>
      <x:c r="O60" t="str">
        <x:v>Technology</x:v>
      </x:c>
      <x:c r="P60" t="str">
        <x:v>No</x:v>
      </x:c>
      <x:c r="Q60" t="str">
        <x:v>No</x:v>
      </x:c>
      <x:c r="R60" s="6"/>
    </x:row>
    <x:row r="61">
      <x:c r="A61" t="str">
        <x:v>L-0060</x:v>
      </x:c>
      <x:c r="B61" t="str">
        <x:v>Elijah</x:v>
      </x:c>
      <x:c r="C61" t="str">
        <x:v>Perez</x:v>
      </x:c>
      <x:c r="D61" t="str">
        <x:v>CedarWorks</x:v>
      </x:c>
      <x:c r="E61" t="str">
        <x:v> elijah.perez169@examplebiz.com </x:v>
      </x:c>
      <x:c r="F61" t="str">
        <x:v>(531) 926-4694</x:v>
      </x:c>
      <x:c r="G61" t="str">
        <x:v>AZ</x:v>
      </x:c>
      <x:c r="H61" t="str">
        <x:v>WEBINAR</x:v>
      </x:c>
      <x:c r="I61" t="str">
        <x:v>closed won</x:v>
      </x:c>
      <x:c r="J61" t="str">
        <x:v> Casey Patel </x:v>
      </x:c>
      <x:c r="K61" s="6" t="n">
        <x:v>46034</x:v>
      </x:c>
      <x:c r="L61" s="6" t="n">
        <x:v>46065</x:v>
      </x:c>
      <x:c r="M61" s="6"/>
      <x:c r="N61" s="8" t="n">
        <x:v>45200</x:v>
      </x:c>
      <x:c r="O61" t="str">
        <x:v>Manufacturing</x:v>
      </x:c>
      <x:c r="P61" t="str">
        <x:v>Yes</x:v>
      </x:c>
      <x:c r="Q61" t="str">
        <x:v>Yes</x:v>
      </x:c>
      <x:c r="R61" s="6" t="n">
        <x:v>46073</x:v>
      </x:c>
    </x:row>
    <x:row r="62">
      <x:c r="A62" t="str">
        <x:v>L-0061</x:v>
      </x:c>
      <x:c r="B62" t="str">
        <x:v>Henry</x:v>
      </x:c>
      <x:c r="C62" t="str">
        <x:v>THOMPSON</x:v>
      </x:c>
      <x:c r="D62" t="str">
        <x:v>REDSTONE CONSULTING</x:v>
      </x:c>
      <x:c r="E62" t="str">
        <x:v>henry.thompson786@mailhub.net</x:v>
      </x:c>
      <x:c r="F62" t="str">
        <x:v>(833) 854-1496</x:v>
      </x:c>
      <x:c r="G62" t="str">
        <x:v>CO</x:v>
      </x:c>
      <x:c r="H62" t="str">
        <x:v>website</x:v>
      </x:c>
      <x:c r="I62" t="str">
        <x:v>LOST</x:v>
      </x:c>
      <x:c r="J62" t="str">
        <x:v>Taylor Morgan</x:v>
      </x:c>
      <x:c r="K62" s="6" t="n">
        <x:v>46049</x:v>
      </x:c>
      <x:c r="L62" s="6" t="n">
        <x:v>46196</x:v>
      </x:c>
      <x:c r="M62" s="6"/>
      <x:c r="N62" s="8" t="n">
        <x:v>24300</x:v>
      </x:c>
      <x:c r="O62" t="str">
        <x:v>Healthcare</x:v>
      </x:c>
      <x:c r="P62" t="str">
        <x:v>Yes</x:v>
      </x:c>
      <x:c r="Q62" t="str">
        <x:v>No</x:v>
      </x:c>
      <x:c r="R62" s="6" t="n">
        <x:v>46202</x:v>
      </x:c>
    </x:row>
    <x:row r="63">
      <x:c r="A63" t="str">
        <x:v>L-0062</x:v>
      </x:c>
      <x:c r="B63" t="str">
        <x:v>Isabella</x:v>
      </x:c>
      <x:c r="C63" t="str">
        <x:v>Wilson</x:v>
      </x:c>
      <x:c r="D63" t="str">
        <x:v>Pioneer Tech</x:v>
      </x:c>
      <x:c r="E63" t="str">
        <x:v>isabella.wilson461@examplebiz.com</x:v>
      </x:c>
      <x:c r="F63" t="str">
        <x:v>(345) 299-1829</x:v>
      </x:c>
      <x:c r="G63" t="str">
        <x:v>CA</x:v>
      </x:c>
      <x:c r="H63" t="str">
        <x:v>Linked In</x:v>
      </x:c>
      <x:c r="I63" t="str">
        <x:v>Qual</x:v>
      </x:c>
      <x:c r="J63" t="str">
        <x:v>Casey Patel</x:v>
      </x:c>
      <x:c r="K63" s="6" t="n">
        <x:v>46219</x:v>
      </x:c>
      <x:c r="L63" s="6" t="n">
        <x:v>46239</x:v>
      </x:c>
      <x:c r="M63" s="6" t="n">
        <x:v>46249</x:v>
      </x:c>
      <x:c r="N63" s="8" t="n">
        <x:v>41000</x:v>
      </x:c>
      <x:c r="O63" t="str">
        <x:v>Professional Services</x:v>
      </x:c>
      <x:c r="P63" t="str">
        <x:v>Yes</x:v>
      </x:c>
      <x:c r="Q63" t="str">
        <x:v>No</x:v>
      </x:c>
      <x:c r="R63" s="6"/>
    </x:row>
    <x:row r="64">
      <x:c r="A64" t="str">
        <x:v>L-0063</x:v>
      </x:c>
      <x:c r="B64" t="str">
        <x:v>Benjamin</x:v>
      </x:c>
      <x:c r="C64" t="str">
        <x:v>Smith</x:v>
      </x:c>
      <x:c r="D64" t="str">
        <x:v> BrightPath Health </x:v>
      </x:c>
      <x:c r="E64" t="str">
        <x:v>benjamin.smith612@mailhub.net</x:v>
      </x:c>
      <x:c r="F64" t="str">
        <x:v>493-749-1133</x:v>
      </x:c>
      <x:c r="G64" t="str">
        <x:v>GA</x:v>
      </x:c>
      <x:c r="H64" t="str">
        <x:v>WEBINAR</x:v>
      </x:c>
      <x:c r="I64" t="str">
        <x:v>Contact</x:v>
      </x:c>
      <x:c r="J64" t="str">
        <x:v>Morgan Reed</x:v>
      </x:c>
      <x:c r="K64" s="6" t="n">
        <x:v>46097</x:v>
      </x:c>
      <x:c r="L64" s="6" t="n">
        <x:v>46187</x:v>
      </x:c>
      <x:c r="M64" s="6" t="n">
        <x:v>46191</x:v>
      </x:c>
      <x:c r="N64" s="8" t="n">
        <x:v>6700</x:v>
      </x:c>
      <x:c r="O64" t="str">
        <x:v>Professional Services</x:v>
      </x:c>
      <x:c r="P64" t="str">
        <x:v>No</x:v>
      </x:c>
      <x:c r="Q64" t="str">
        <x:v>No</x:v>
      </x:c>
      <x:c r="R64" s="6"/>
    </x:row>
    <x:row r="65">
      <x:c r="A65" t="str">
        <x:v>L-0064</x:v>
      </x:c>
      <x:c r="B65" t="str">
        <x:v>Sophia</x:v>
      </x:c>
      <x:c r="C65" t="str">
        <x:v>Thompson</x:v>
      </x:c>
      <x:c r="D65" t="str"/>
      <x:c r="E65" t="str">
        <x:v>sophia.thompson204@mailhub.net</x:v>
      </x:c>
      <x:c r="F65" t="str">
        <x:v>(713) 241-1742</x:v>
      </x:c>
      <x:c r="G65" t="str">
        <x:v>TX</x:v>
      </x:c>
      <x:c r="H65" t="str">
        <x:v>REFERRAL</x:v>
      </x:c>
      <x:c r="I65" t="str">
        <x:v>WON</x:v>
      </x:c>
      <x:c r="J65" t="str">
        <x:v>Taylor Morgan</x:v>
      </x:c>
      <x:c r="K65" s="6" t="n">
        <x:v>46160</x:v>
      </x:c>
      <x:c r="L65" s="6" t="n">
        <x:v>46231</x:v>
      </x:c>
      <x:c r="M65" s="6"/>
      <x:c r="N65" s="8" t="n">
        <x:v>80000</x:v>
      </x:c>
      <x:c r="O65" t="str">
        <x:v>Manufacturing</x:v>
      </x:c>
      <x:c r="P65" t="str">
        <x:v>Yes</x:v>
      </x:c>
      <x:c r="Q65" t="str">
        <x:v>Yes</x:v>
      </x:c>
      <x:c r="R65" s="6" t="n">
        <x:v>46233</x:v>
      </x:c>
    </x:row>
    <x:row r="66">
      <x:c r="A66" t="str">
        <x:v>L-0065</x:v>
      </x:c>
      <x:c r="B66" t="str">
        <x:v> Evelyn </x:v>
      </x:c>
      <x:c r="C66" t="str">
        <x:v>Lee</x:v>
      </x:c>
      <x:c r="D66" t="str">
        <x:v>Atlas Commerce</x:v>
      </x:c>
      <x:c r="E66" t="str">
        <x:v>evelyn.lee894@northmail.com</x:v>
      </x:c>
      <x:c r="F66" t="str">
        <x:v>(812) 685-5350</x:v>
      </x:c>
      <x:c r="G66" t="str">
        <x:v>NC</x:v>
      </x:c>
      <x:c r="H66" t="str">
        <x:v>email campaign</x:v>
      </x:c>
      <x:c r="I66" t="str">
        <x:v>Contacted</x:v>
      </x:c>
      <x:c r="J66" t="str">
        <x:v>Jamie Brooks</x:v>
      </x:c>
      <x:c r="K66" s="6" t="n">
        <x:v>46074</x:v>
      </x:c>
      <x:c r="L66" s="6" t="n">
        <x:v>46102</x:v>
      </x:c>
      <x:c r="M66" s="6" t="n">
        <x:v>46118</x:v>
      </x:c>
      <x:c r="N66" s="8" t="n">
        <x:v>50700</x:v>
      </x:c>
      <x:c r="O66" t="str">
        <x:v>Financial Services</x:v>
      </x:c>
      <x:c r="P66" t="str">
        <x:v>No</x:v>
      </x:c>
      <x:c r="Q66" t="str">
        <x:v>No</x:v>
      </x:c>
      <x:c r="R66" s="6"/>
    </x:row>
    <x:row r="67">
      <x:c r="A67" t="str">
        <x:v>L-0066</x:v>
      </x:c>
      <x:c r="B67" t="str">
        <x:v>Noah</x:v>
      </x:c>
      <x:c r="C67" t="str">
        <x:v>Miller</x:v>
      </x:c>
      <x:c r="D67" t="str">
        <x:v>Northstar Labs</x:v>
      </x:c>
      <x:c r="E67" t="str">
        <x:v>noah.miller894@northmail.com</x:v>
      </x:c>
      <x:c r="F67" t="str">
        <x:v>(923) 341-9498</x:v>
      </x:c>
      <x:c r="G67" t="str">
        <x:v>IL</x:v>
      </x:c>
      <x:c r="H67" t="str">
        <x:v>REFERRAL</x:v>
      </x:c>
      <x:c r="I67" t="str">
        <x:v>Contact</x:v>
      </x:c>
      <x:c r="J67" t="str">
        <x:v> Morgan Reed </x:v>
      </x:c>
      <x:c r="K67" s="6" t="n">
        <x:v>46194</x:v>
      </x:c>
      <x:c r="L67" s="6" t="n">
        <x:v>46220</x:v>
      </x:c>
      <x:c r="M67" s="6" t="n">
        <x:v>46239</x:v>
      </x:c>
      <x:c r="N67" s="8" t="n">
        <x:v>66400</x:v>
      </x:c>
      <x:c r="O67" t="str">
        <x:v>Logistics</x:v>
      </x:c>
      <x:c r="P67" t="str">
        <x:v>No</x:v>
      </x:c>
      <x:c r="Q67" t="str">
        <x:v>No</x:v>
      </x:c>
      <x:c r="R67" s="6"/>
    </x:row>
    <x:row r="68">
      <x:c r="A68" t="str">
        <x:v>L-0067</x:v>
      </x:c>
      <x:c r="B68" t="str">
        <x:v>Mason</x:v>
      </x:c>
      <x:c r="C68" t="str">
        <x:v>Rodriguez</x:v>
      </x:c>
      <x:c r="D68" t="str">
        <x:v>Evergreen Services</x:v>
      </x:c>
      <x:c r="E68" t="str">
        <x:v>mason.rodriguez574@prospect.co</x:v>
      </x:c>
      <x:c r="F68" t="str">
        <x:v>(495) 324-9899</x:v>
      </x:c>
      <x:c r="G68" t="str">
        <x:v>NY</x:v>
      </x:c>
      <x:c r="H68" t="str">
        <x:v>Email</x:v>
      </x:c>
      <x:c r="I68" t="str">
        <x:v>Opportunity</x:v>
      </x:c>
      <x:c r="J68" t="str">
        <x:v> Casey Patel </x:v>
      </x:c>
      <x:c r="K68" s="6" t="n">
        <x:v>46070</x:v>
      </x:c>
      <x:c r="L68" s="6" t="n">
        <x:v>46250</x:v>
      </x:c>
      <x:c r="M68" s="6" t="n">
        <x:v>46268</x:v>
      </x:c>
      <x:c r="N68" s="8" t="n">
        <x:v>28700</x:v>
      </x:c>
      <x:c r="O68" t="str">
        <x:v>Retail</x:v>
      </x:c>
      <x:c r="P68" t="str">
        <x:v>Yes</x:v>
      </x:c>
      <x:c r="Q68" t="str">
        <x:v>No</x:v>
      </x:c>
      <x:c r="R68" s="6"/>
    </x:row>
    <x:row r="69">
      <x:c r="A69" t="str">
        <x:v>L-0068</x:v>
      </x:c>
      <x:c r="B69" t="str">
        <x:v>elijah</x:v>
      </x:c>
      <x:c r="C69" t="str">
        <x:v>Rodriguez</x:v>
      </x:c>
      <x:c r="D69" t="str">
        <x:v>Horizon Bio</x:v>
      </x:c>
      <x:c r="E69" t="str">
        <x:v>elijah.rodriguez654@examplebiz.com</x:v>
      </x:c>
      <x:c r="F69" t="str">
        <x:v>(254) 302-7771</x:v>
      </x:c>
      <x:c r="G69" t="str">
        <x:v>TX</x:v>
      </x:c>
      <x:c r="H69" t="str">
        <x:v>trade show</x:v>
      </x:c>
      <x:c r="I69" t="str">
        <x:v>QUALIFIED</x:v>
      </x:c>
      <x:c r="J69" t="str">
        <x:v>Taylor Morgan</x:v>
      </x:c>
      <x:c r="K69" s="6" t="n">
        <x:v>46184</x:v>
      </x:c>
      <x:c r="L69" s="6" t="n">
        <x:v>46190</x:v>
      </x:c>
      <x:c r="M69" s="6" t="n">
        <x:v>46214</x:v>
      </x:c>
      <x:c r="N69" s="8" t="n">
        <x:v>77200</x:v>
      </x:c>
      <x:c r="O69" t="str">
        <x:v>Manufacturing</x:v>
      </x:c>
      <x:c r="P69" t="str">
        <x:v>Yes</x:v>
      </x:c>
      <x:c r="Q69" t="str">
        <x:v>No</x:v>
      </x:c>
      <x:c r="R69" s="6"/>
    </x:row>
    <x:row r="70">
      <x:c r="A70" t="str">
        <x:v>L-0069</x:v>
      </x:c>
      <x:c r="B70" t="str">
        <x:v>Liam</x:v>
      </x:c>
      <x:c r="C70" t="str">
        <x:v>williams</x:v>
      </x:c>
      <x:c r="D70" t="str">
        <x:v>Clearview Media</x:v>
      </x:c>
      <x:c r="E70" t="str">
        <x:v>liam.williams191@prospect.co</x:v>
      </x:c>
      <x:c r="F70" t="str">
        <x:v>(239) 209-5888</x:v>
      </x:c>
      <x:c r="G70" t="str">
        <x:v>CA</x:v>
      </x:c>
      <x:c r="H70" t="str">
        <x:v>REFERRAL</x:v>
      </x:c>
      <x:c r="I70" t="str">
        <x:v>closed won</x:v>
      </x:c>
      <x:c r="J70" t="str">
        <x:v>Morgan Reed</x:v>
      </x:c>
      <x:c r="K70" s="6" t="n">
        <x:v>46237</x:v>
      </x:c>
      <x:c r="L70" s="6" t="n">
        <x:v>46250</x:v>
      </x:c>
      <x:c r="M70" s="6"/>
      <x:c r="N70" s="8" t="n">
        <x:v>35300</x:v>
      </x:c>
      <x:c r="O70" t="str">
        <x:v>Healthcare</x:v>
      </x:c>
      <x:c r="P70" t="str">
        <x:v>Yes</x:v>
      </x:c>
      <x:c r="Q70" t="str">
        <x:v>Yes</x:v>
      </x:c>
      <x:c r="R70" s="6" t="n">
        <x:v>46251</x:v>
      </x:c>
    </x:row>
    <x:row r="71">
      <x:c r="A71" t="str">
        <x:v>L-0070</x:v>
      </x:c>
      <x:c r="B71" t="str">
        <x:v>Sophia</x:v>
      </x:c>
      <x:c r="C71" t="str">
        <x:v>Garcia</x:v>
      </x:c>
      <x:c r="D71" t="str">
        <x:v>Northstar Labs</x:v>
      </x:c>
      <x:c r="E71" t="str">
        <x:v>sophia.garcia528@prospect.co</x:v>
      </x:c>
      <x:c r="F71" t="str">
        <x:v>289-610-2562</x:v>
      </x:c>
      <x:c r="G71" t="str">
        <x:v>NY</x:v>
      </x:c>
      <x:c r="H71" t="str">
        <x:v>trade show</x:v>
      </x:c>
      <x:c r="I71" t="str">
        <x:v>OPP</x:v>
      </x:c>
      <x:c r="J71" t="str">
        <x:v>Morgan Reed</x:v>
      </x:c>
      <x:c r="K71" s="6" t="n">
        <x:v>46202</x:v>
      </x:c>
      <x:c r="L71" s="6" t="n">
        <x:v>46241</x:v>
      </x:c>
      <x:c r="M71" s="6" t="n">
        <x:v>46264</x:v>
      </x:c>
      <x:c r="N71" s="8" t="n">
        <x:v>76500</x:v>
      </x:c>
      <x:c r="O71" t="str">
        <x:v>Biotech</x:v>
      </x:c>
      <x:c r="P71" t="str">
        <x:v>Yes</x:v>
      </x:c>
      <x:c r="Q71" t="str">
        <x:v>No</x:v>
      </x:c>
      <x:c r="R71" s="6"/>
    </x:row>
    <x:row r="72">
      <x:c r="A72" t="str">
        <x:v>L-0071</x:v>
      </x:c>
      <x:c r="B72" t="str">
        <x:v>Noah</x:v>
      </x:c>
      <x:c r="C72" t="str">
        <x:v>Moore</x:v>
      </x:c>
      <x:c r="D72" t="str">
        <x:v>Evergreen Services</x:v>
      </x:c>
      <x:c r="E72" t="str">
        <x:v>noah.moore939@prospect.co</x:v>
      </x:c>
      <x:c r="F72" t="str">
        <x:v>(577) 829-4618</x:v>
      </x:c>
      <x:c r="G72" t="str">
        <x:v>AZ</x:v>
      </x:c>
      <x:c r="H72" t="str">
        <x:v>LinkedIn</x:v>
      </x:c>
      <x:c r="I72" t="str">
        <x:v>Closed-Lost</x:v>
      </x:c>
      <x:c r="J72" t="str">
        <x:v>Jamie Brooks</x:v>
      </x:c>
      <x:c r="K72" s="6" t="n">
        <x:v>46066</x:v>
      </x:c>
      <x:c r="L72" s="6" t="n">
        <x:v>46145</x:v>
      </x:c>
      <x:c r="M72" s="6"/>
      <x:c r="N72" s="8" t="n">
        <x:v>59400</x:v>
      </x:c>
      <x:c r="O72" t="str">
        <x:v>Manufacturing</x:v>
      </x:c>
      <x:c r="P72" t="str">
        <x:v>Yes</x:v>
      </x:c>
      <x:c r="Q72" t="str">
        <x:v>No</x:v>
      </x:c>
      <x:c r="R72" s="6" t="n">
        <x:v>46153</x:v>
      </x:c>
    </x:row>
    <x:row r="73">
      <x:c r="A73" t="str">
        <x:v>L-0072</x:v>
      </x:c>
      <x:c r="B73" t="str">
        <x:v>LOGAN</x:v>
      </x:c>
      <x:c r="C73" t="str">
        <x:v>Williams</x:v>
      </x:c>
      <x:c r="D73" t="str">
        <x:v>Summit Analytics</x:v>
      </x:c>
      <x:c r="E73" t="str">
        <x:v>logan.williams453@northmail.com</x:v>
      </x:c>
      <x:c r="F73" t="str">
        <x:v>(897) 410-9008</x:v>
      </x:c>
      <x:c r="G73" t="str">
        <x:v>GA</x:v>
      </x:c>
      <x:c r="H73" t="str">
        <x:v>Outbound</x:v>
      </x:c>
      <x:c r="I73" t="str">
        <x:v>contacted</x:v>
      </x:c>
      <x:c r="J73" t="str">
        <x:v>Alex Kim</x:v>
      </x:c>
      <x:c r="K73" s="6" t="n">
        <x:v>46109</x:v>
      </x:c>
      <x:c r="L73" s="6" t="n">
        <x:v>46147</x:v>
      </x:c>
      <x:c r="M73" s="6" t="n">
        <x:v>46155</x:v>
      </x:c>
      <x:c r="N73" s="8" t="n">
        <x:v>29600</x:v>
      </x:c>
      <x:c r="O73" t="str">
        <x:v>Healthcare</x:v>
      </x:c>
      <x:c r="P73" t="str">
        <x:v>No</x:v>
      </x:c>
      <x:c r="Q73" t="str">
        <x:v>No</x:v>
      </x:c>
      <x:c r="R73" s="6"/>
    </x:row>
    <x:row r="74">
      <x:c r="A74" t="str">
        <x:v>L-0073</x:v>
      </x:c>
      <x:c r="B74" t="str">
        <x:v>liam</x:v>
      </x:c>
      <x:c r="C74" t="str">
        <x:v>Taylor</x:v>
      </x:c>
      <x:c r="D74" t="str">
        <x:v>pioneer tech</x:v>
      </x:c>
      <x:c r="E74" t="str">
        <x:v>liam.taylor185@examplebiz.com</x:v>
      </x:c>
      <x:c r="F74" t="str">
        <x:v>(985) 856-7887</x:v>
      </x:c>
      <x:c r="G74" t="str">
        <x:v>GA</x:v>
      </x:c>
      <x:c r="H74" t="str">
        <x:v>outbound</x:v>
      </x:c>
      <x:c r="I74" t="str">
        <x:v>closed lost</x:v>
      </x:c>
      <x:c r="J74" t="str">
        <x:v>Morgan Reed</x:v>
      </x:c>
      <x:c r="K74" s="6" t="n">
        <x:v>46229</x:v>
      </x:c>
      <x:c r="L74" s="6" t="n">
        <x:v>46244</x:v>
      </x:c>
      <x:c r="M74" s="6"/>
      <x:c r="N74" s="8" t="n">
        <x:v>5100</x:v>
      </x:c>
      <x:c r="O74" t="str">
        <x:v>Technology</x:v>
      </x:c>
      <x:c r="P74" t="str">
        <x:v>Yes</x:v>
      </x:c>
      <x:c r="Q74" t="str">
        <x:v>No</x:v>
      </x:c>
      <x:c r="R74" s="6" t="n">
        <x:v>46251</x:v>
      </x:c>
    </x:row>
    <x:row r="75">
      <x:c r="A75" t="str">
        <x:v>L-0074</x:v>
      </x:c>
      <x:c r="B75" t="str">
        <x:v>Ava</x:v>
      </x:c>
      <x:c r="C75" t="str">
        <x:v>Martinez</x:v>
      </x:c>
      <x:c r="D75" t="str">
        <x:v>Prairie Health</x:v>
      </x:c>
      <x:c r="E75" t="str">
        <x:v>ava.martinez784@northmail.com</x:v>
      </x:c>
      <x:c r="F75" t="str">
        <x:v>233-876-7868</x:v>
      </x:c>
      <x:c r="G75" t="str">
        <x:v>GA</x:v>
      </x:c>
      <x:c r="H75" t="str">
        <x:v> Referal </x:v>
      </x:c>
      <x:c r="I75" t="str">
        <x:v>contacted</x:v>
      </x:c>
      <x:c r="J75" t="str">
        <x:v>Jamie Brooks</x:v>
      </x:c>
      <x:c r="K75" s="6" t="n">
        <x:v>46129</x:v>
      </x:c>
      <x:c r="L75" s="6" t="n">
        <x:v>46173</x:v>
      </x:c>
      <x:c r="M75" s="6" t="n">
        <x:v>46180</x:v>
      </x:c>
      <x:c r="N75" s="8" t="n">
        <x:v>25200</x:v>
      </x:c>
      <x:c r="O75" t="str">
        <x:v>Professional Services</x:v>
      </x:c>
      <x:c r="P75" t="str">
        <x:v>No</x:v>
      </x:c>
      <x:c r="Q75" t="str">
        <x:v>No</x:v>
      </x:c>
      <x:c r="R75" s="6"/>
    </x:row>
    <x:row r="76">
      <x:c r="A76" t="str">
        <x:v>L-0075</x:v>
      </x:c>
      <x:c r="B76" t="str">
        <x:v>Liam</x:v>
      </x:c>
      <x:c r="C76" t="str">
        <x:v>Jones</x:v>
      </x:c>
      <x:c r="D76" t="str"/>
      <x:c r="E76" t="str">
        <x:v>liam.jones677@examplebiz.com</x:v>
      </x:c>
      <x:c r="F76" t="str">
        <x:v>(624) 507-5508</x:v>
      </x:c>
      <x:c r="G76" t="str">
        <x:v>PA</x:v>
      </x:c>
      <x:c r="H76" t="str">
        <x:v>trade show</x:v>
      </x:c>
      <x:c r="I76" t="str">
        <x:v>Qual</x:v>
      </x:c>
      <x:c r="J76" t="str">
        <x:v>Taylor Morgan</x:v>
      </x:c>
      <x:c r="K76" s="6" t="n">
        <x:v>46049</x:v>
      </x:c>
      <x:c r="L76" s="6" t="n">
        <x:v>46221</x:v>
      </x:c>
      <x:c r="M76" s="6" t="n">
        <x:v>46234</x:v>
      </x:c>
      <x:c r="N76" s="8" t="n">
        <x:v>22000</x:v>
      </x:c>
      <x:c r="O76" t="str">
        <x:v>Retail</x:v>
      </x:c>
      <x:c r="P76" t="str">
        <x:v>Yes</x:v>
      </x:c>
      <x:c r="Q76" t="str">
        <x:v>No</x:v>
      </x:c>
      <x:c r="R76" s="6"/>
    </x:row>
    <x:row r="77">
      <x:c r="A77" t="str">
        <x:v>L-0076</x:v>
      </x:c>
      <x:c r="B77" t="str">
        <x:v>Lucas</x:v>
      </x:c>
      <x:c r="C77" t="str">
        <x:v>Thomas</x:v>
      </x:c>
      <x:c r="D77" t="str">
        <x:v>CEDARWORKS</x:v>
      </x:c>
      <x:c r="E77" t="str">
        <x:v>lucas.thomas423@mailhub.net</x:v>
      </x:c>
      <x:c r="F77" t="str">
        <x:v>(771) 742-3196</x:v>
      </x:c>
      <x:c r="G77" t="str">
        <x:v>FL</x:v>
      </x:c>
      <x:c r="H77" t="str">
        <x:v>Email Campaign</x:v>
      </x:c>
      <x:c r="I77" t="str">
        <x:v>Contacted</x:v>
      </x:c>
      <x:c r="J77" t="str">
        <x:v> Alex Kim </x:v>
      </x:c>
      <x:c r="K77" s="6" t="n">
        <x:v>46065</x:v>
      </x:c>
      <x:c r="L77" s="6" t="n">
        <x:v>46101</x:v>
      </x:c>
      <x:c r="M77" s="6" t="n">
        <x:v>46118</x:v>
      </x:c>
      <x:c r="N77" s="8" t="n">
        <x:v>78000</x:v>
      </x:c>
      <x:c r="O77" t="str">
        <x:v>Logistics</x:v>
      </x:c>
      <x:c r="P77" t="str">
        <x:v>No</x:v>
      </x:c>
      <x:c r="Q77" t="str">
        <x:v>No</x:v>
      </x:c>
      <x:c r="R77" s="6"/>
    </x:row>
    <x:row r="78">
      <x:c r="A78" t="str">
        <x:v>L-0077</x:v>
      </x:c>
      <x:c r="B78" t="str">
        <x:v>Luna</x:v>
      </x:c>
      <x:c r="C78" t="str">
        <x:v>Lee</x:v>
      </x:c>
      <x:c r="D78" t="str">
        <x:v>Apex Manufacturing</x:v>
      </x:c>
      <x:c r="E78" t="str">
        <x:v>luna.lee765@mailhub.net</x:v>
      </x:c>
      <x:c r="F78" t="str">
        <x:v>(449) 912-4350</x:v>
      </x:c>
      <x:c r="G78" t="str">
        <x:v>FL</x:v>
      </x:c>
      <x:c r="H78" t="str">
        <x:v>Email</x:v>
      </x:c>
      <x:c r="I78" t="str">
        <x:v>CONTACTED</x:v>
      </x:c>
      <x:c r="J78" t="str">
        <x:v>Jordan Lee</x:v>
      </x:c>
      <x:c r="K78" s="6" t="n">
        <x:v>46243</x:v>
      </x:c>
      <x:c r="L78" s="6" t="n">
        <x:v>46246</x:v>
      </x:c>
      <x:c r="M78" s="6" t="n">
        <x:v>46255</x:v>
      </x:c>
      <x:c r="N78" s="8" t="n">
        <x:v>81900</x:v>
      </x:c>
      <x:c r="O78" t="str">
        <x:v>Logistics</x:v>
      </x:c>
      <x:c r="P78" t="str">
        <x:v>No</x:v>
      </x:c>
      <x:c r="Q78" t="str">
        <x:v>No</x:v>
      </x:c>
      <x:c r="R78" s="6"/>
    </x:row>
    <x:row r="79">
      <x:c r="A79" t="str">
        <x:v>L-0078</x:v>
      </x:c>
      <x:c r="B79" t="str">
        <x:v>Logan</x:v>
      </x:c>
      <x:c r="C79" t="str">
        <x:v>Wilson</x:v>
      </x:c>
      <x:c r="D79" t="str">
        <x:v>Vertex Solutions</x:v>
      </x:c>
      <x:c r="E79" t="str">
        <x:v>logan.wilson738@mailhub.net</x:v>
      </x:c>
      <x:c r="F79" t="str">
        <x:v>(503) 356-4214</x:v>
      </x:c>
      <x:c r="G79" t="str">
        <x:v>WA</x:v>
      </x:c>
      <x:c r="H79" t="str">
        <x:v>email campaign</x:v>
      </x:c>
      <x:c r="I79" t="str">
        <x:v>OPP</x:v>
      </x:c>
      <x:c r="J79" t="str">
        <x:v>Alex Kim</x:v>
      </x:c>
      <x:c r="K79" s="6" t="n">
        <x:v>46242</x:v>
      </x:c>
      <x:c r="L79" s="6" t="n">
        <x:v>46246</x:v>
      </x:c>
      <x:c r="M79" s="6" t="n">
        <x:v>46266</x:v>
      </x:c>
      <x:c r="N79" s="8" t="n">
        <x:v>79600</x:v>
      </x:c>
      <x:c r="O79" t="str">
        <x:v>Healthcare</x:v>
      </x:c>
      <x:c r="P79" t="str">
        <x:v>Yes</x:v>
      </x:c>
      <x:c r="Q79" t="str">
        <x:v>No</x:v>
      </x:c>
      <x:c r="R79" s="6"/>
    </x:row>
    <x:row r="80">
      <x:c r="A80" t="str">
        <x:v>L-0079</x:v>
      </x:c>
      <x:c r="B80" t="str">
        <x:v>Ethan</x:v>
      </x:c>
      <x:c r="C80" t="str">
        <x:v>Jones</x:v>
      </x:c>
      <x:c r="D80" t="str">
        <x:v>Atlas Commerce</x:v>
      </x:c>
      <x:c r="E80" t="str">
        <x:v>ethan.jones968@northmail.com</x:v>
      </x:c>
      <x:c r="F80" t="str">
        <x:v>(983) 206-7756</x:v>
      </x:c>
      <x:c r="G80" t="str">
        <x:v>GA</x:v>
      </x:c>
      <x:c r="H80" t="str">
        <x:v>Outbound</x:v>
      </x:c>
      <x:c r="I80" t="str">
        <x:v>Closed-Lost</x:v>
      </x:c>
      <x:c r="J80" t="str">
        <x:v>JORDAN LEE</x:v>
      </x:c>
      <x:c r="K80" s="6" t="n">
        <x:v>46112</x:v>
      </x:c>
      <x:c r="L80" s="6" t="n">
        <x:v>46120</x:v>
      </x:c>
      <x:c r="M80" s="6"/>
      <x:c r="N80" s="8" t="n">
        <x:v>71700</x:v>
      </x:c>
      <x:c r="O80" t="str">
        <x:v>Manufacturing</x:v>
      </x:c>
      <x:c r="P80" t="str">
        <x:v>Yes</x:v>
      </x:c>
      <x:c r="Q80" t="str">
        <x:v>No</x:v>
      </x:c>
      <x:c r="R80" s="6" t="n">
        <x:v>46120</x:v>
      </x:c>
    </x:row>
    <x:row r="81">
      <x:c r="A81" t="str">
        <x:v>L-0080</x:v>
      </x:c>
      <x:c r="B81" t="str">
        <x:v>Evelyn</x:v>
      </x:c>
      <x:c r="C81" t="str">
        <x:v>Rodriguez</x:v>
      </x:c>
      <x:c r="D81" t="str">
        <x:v>Evergreen Services</x:v>
      </x:c>
      <x:c r="E81" t="str">
        <x:v>evelyn.rodriguez153@examplebiz.com</x:v>
      </x:c>
      <x:c r="F81" t="str">
        <x:v>(397) 834-9625</x:v>
      </x:c>
      <x:c r="G81" t="str">
        <x:v>GA</x:v>
      </x:c>
      <x:c r="H81" t="str">
        <x:v>Email Campaign</x:v>
      </x:c>
      <x:c r="I81" t="str">
        <x:v>Opportunity</x:v>
      </x:c>
      <x:c r="J81" t="str">
        <x:v>Alex Kim</x:v>
      </x:c>
      <x:c r="K81" s="6" t="n">
        <x:v>46040</x:v>
      </x:c>
      <x:c r="L81" s="6" t="n">
        <x:v>46085</x:v>
      </x:c>
      <x:c r="M81" s="6" t="n">
        <x:v>46091</x:v>
      </x:c>
      <x:c r="N81" s="8" t="n">
        <x:v>78200</x:v>
      </x:c>
      <x:c r="O81" t="str">
        <x:v>Healthcare</x:v>
      </x:c>
      <x:c r="P81" t="str">
        <x:v>Yes</x:v>
      </x:c>
      <x:c r="Q81" t="str">
        <x:v>No</x:v>
      </x:c>
      <x:c r="R81" s="6"/>
    </x:row>
    <x:row r="82">
      <x:c r="A82" t="str">
        <x:v>L-0081</x:v>
      </x:c>
      <x:c r="B82" t="str">
        <x:v>Amelia</x:v>
      </x:c>
      <x:c r="C82" t="str">
        <x:v>Lee</x:v>
      </x:c>
      <x:c r="D82" t="str">
        <x:v>Atlas Commerce</x:v>
      </x:c>
      <x:c r="E82" t="str">
        <x:v> amelia.lee879@northmail.com </x:v>
      </x:c>
      <x:c r="F82" t="str">
        <x:v>(741) 243-4764</x:v>
      </x:c>
      <x:c r="G82" t="str">
        <x:v>OH</x:v>
      </x:c>
      <x:c r="H82" t="str">
        <x:v>WEB</x:v>
      </x:c>
      <x:c r="I82" t="str">
        <x:v>New</x:v>
      </x:c>
      <x:c r="J82" t="str">
        <x:v>Alex Kim</x:v>
      </x:c>
      <x:c r="K82" s="6" t="n">
        <x:v>46119</x:v>
      </x:c>
      <x:c r="L82" s="6" t="n">
        <x:v>46230</x:v>
      </x:c>
      <x:c r="M82" s="6" t="n">
        <x:v>46253</x:v>
      </x:c>
      <x:c r="N82" s="8" t="n">
        <x:v>67200</x:v>
      </x:c>
      <x:c r="O82" t="str">
        <x:v>Healthcare</x:v>
      </x:c>
      <x:c r="P82" t="str">
        <x:v>No</x:v>
      </x:c>
      <x:c r="Q82" t="str">
        <x:v>No</x:v>
      </x:c>
      <x:c r="R82" s="6"/>
    </x:row>
    <x:row r="83">
      <x:c r="A83" t="str">
        <x:v>L-0082</x:v>
      </x:c>
      <x:c r="B83" t="str">
        <x:v>Luna</x:v>
      </x:c>
      <x:c r="C83" t="str">
        <x:v>JONES</x:v>
      </x:c>
      <x:c r="D83" t="str">
        <x:v>Silverline Foods</x:v>
      </x:c>
      <x:c r="E83" t="str">
        <x:v>luna.jones340@mailhub.net</x:v>
      </x:c>
      <x:c r="F83" t="str">
        <x:v>(974) 957-3292</x:v>
      </x:c>
      <x:c r="G83" t="str">
        <x:v>NY</x:v>
      </x:c>
      <x:c r="H83" t="str">
        <x:v>WEB</x:v>
      </x:c>
      <x:c r="I83" t="str">
        <x:v>Contacted</x:v>
      </x:c>
      <x:c r="J83" t="str">
        <x:v>Alex Kim</x:v>
      </x:c>
      <x:c r="K83" s="6" t="n">
        <x:v>46033</x:v>
      </x:c>
      <x:c r="L83" s="6" t="n">
        <x:v>46250</x:v>
      </x:c>
      <x:c r="M83" s="6" t="n">
        <x:v>46265</x:v>
      </x:c>
      <x:c r="N83" s="8" t="n">
        <x:v>58400</x:v>
      </x:c>
      <x:c r="O83" t="str">
        <x:v>Technology</x:v>
      </x:c>
      <x:c r="P83" t="str">
        <x:v>No</x:v>
      </x:c>
      <x:c r="Q83" t="str">
        <x:v>No</x:v>
      </x:c>
      <x:c r="R83" s="6"/>
    </x:row>
    <x:row r="84">
      <x:c r="A84" t="str">
        <x:v>L-0083</x:v>
      </x:c>
      <x:c r="B84" t="str">
        <x:v>harper</x:v>
      </x:c>
      <x:c r="C84" t="str">
        <x:v>Jackson</x:v>
      </x:c>
      <x:c r="D84" t="str">
        <x:v>Clearview Media</x:v>
      </x:c>
      <x:c r="E84" t="str">
        <x:v>harper.jackson303@examplebiz.com</x:v>
      </x:c>
      <x:c r="F84" t="str">
        <x:v>(931) 275-2344</x:v>
      </x:c>
      <x:c r="G84" t="str">
        <x:v>GA</x:v>
      </x:c>
      <x:c r="H84" t="str">
        <x:v>Outbound</x:v>
      </x:c>
      <x:c r="I84" t="str">
        <x:v>qualified</x:v>
      </x:c>
      <x:c r="J84" t="str">
        <x:v>Alex Kim</x:v>
      </x:c>
      <x:c r="K84" s="6" t="n">
        <x:v>46072</x:v>
      </x:c>
      <x:c r="L84" s="6" t="n">
        <x:v>46221</x:v>
      </x:c>
      <x:c r="M84" s="6" t="n">
        <x:v>46245</x:v>
      </x:c>
      <x:c r="N84" s="8" t="n">
        <x:v>33900</x:v>
      </x:c>
      <x:c r="O84" t="str">
        <x:v>Biotech</x:v>
      </x:c>
      <x:c r="P84" t="str">
        <x:v>Yes</x:v>
      </x:c>
      <x:c r="Q84" t="str">
        <x:v>No</x:v>
      </x:c>
      <x:c r="R84" s="6"/>
    </x:row>
    <x:row r="85">
      <x:c r="A85" t="str">
        <x:v>L-0084</x:v>
      </x:c>
      <x:c r="B85" t="str">
        <x:v> Elijah </x:v>
      </x:c>
      <x:c r="C85" t="str">
        <x:v>Lee</x:v>
      </x:c>
      <x:c r="D85" t="str">
        <x:v>Vertex Solutions</x:v>
      </x:c>
      <x:c r="E85" t="str">
        <x:v>elijah.lee299@mailhub.net</x:v>
      </x:c>
      <x:c r="F85" t="str">
        <x:v>(598) 997-2387</x:v>
      </x:c>
      <x:c r="G85" t="str">
        <x:v>CO</x:v>
      </x:c>
      <x:c r="H85" t="str">
        <x:v>WEB</x:v>
      </x:c>
      <x:c r="I85" t="str">
        <x:v>Qual</x:v>
      </x:c>
      <x:c r="J85" t="str">
        <x:v>Jordan Lee</x:v>
      </x:c>
      <x:c r="K85" s="6" t="n">
        <x:v>46094</x:v>
      </x:c>
      <x:c r="L85" s="6" t="n">
        <x:v>46247</x:v>
      </x:c>
      <x:c r="M85" s="6" t="n">
        <x:v>46260</x:v>
      </x:c>
      <x:c r="N85" s="8" t="n">
        <x:v>73800</x:v>
      </x:c>
      <x:c r="O85" t="str">
        <x:v>Technology</x:v>
      </x:c>
      <x:c r="P85" t="str">
        <x:v>Yes</x:v>
      </x:c>
      <x:c r="Q85" t="str">
        <x:v>No</x:v>
      </x:c>
      <x:c r="R85" s="6"/>
    </x:row>
    <x:row r="86">
      <x:c r="A86" t="str">
        <x:v>L-0085</x:v>
      </x:c>
      <x:c r="B86" t="str">
        <x:v>mia</x:v>
      </x:c>
      <x:c r="C86" t="str">
        <x:v>Anderson</x:v>
      </x:c>
      <x:c r="D86" t="str">
        <x:v>Horizon Bio</x:v>
      </x:c>
      <x:c r="E86" t="str">
        <x:v>mia.anderson972@mailhub.net</x:v>
      </x:c>
      <x:c r="F86" t="str">
        <x:v>(541) 835-7224</x:v>
      </x:c>
      <x:c r="G86" t="str">
        <x:v>PA</x:v>
      </x:c>
      <x:c r="H86" t="str">
        <x:v>TRADE SHOW</x:v>
      </x:c>
      <x:c r="I86" t="str">
        <x:v>QUALIFIED</x:v>
      </x:c>
      <x:c r="J86" t="str">
        <x:v>Jordan Lee</x:v>
      </x:c>
      <x:c r="K86" s="6" t="n">
        <x:v>46196</x:v>
      </x:c>
      <x:c r="L86" s="6" t="n">
        <x:v>46225</x:v>
      </x:c>
      <x:c r="M86" s="6" t="n">
        <x:v>46231</x:v>
      </x:c>
      <x:c r="N86" s="8" t="n">
        <x:v>13700</x:v>
      </x:c>
      <x:c r="O86" t="str">
        <x:v>Retail</x:v>
      </x:c>
      <x:c r="P86" t="str">
        <x:v>Yes</x:v>
      </x:c>
      <x:c r="Q86" t="str">
        <x:v>No</x:v>
      </x:c>
      <x:c r="R86" s="6"/>
    </x:row>
    <x:row r="87">
      <x:c r="A87" t="str">
        <x:v>L-0086</x:v>
      </x:c>
      <x:c r="B87" t="str">
        <x:v>Benjamin</x:v>
      </x:c>
      <x:c r="C87" t="str">
        <x:v>perez</x:v>
      </x:c>
      <x:c r="D87" t="str">
        <x:v>Clearview Media</x:v>
      </x:c>
      <x:c r="E87" t="str">
        <x:v>benjamin.perez607@examplebiz.com</x:v>
      </x:c>
      <x:c r="F87" t="str">
        <x:v>(899) 986-1440</x:v>
      </x:c>
      <x:c r="G87" t="str">
        <x:v>AZ</x:v>
      </x:c>
      <x:c r="H87" t="str">
        <x:v> Referal </x:v>
      </x:c>
      <x:c r="I87" t="str">
        <x:v>Closed-Won</x:v>
      </x:c>
      <x:c r="J87" t="str">
        <x:v>TAYLOR MORGAN</x:v>
      </x:c>
      <x:c r="K87" s="6" t="n">
        <x:v>46153</x:v>
      </x:c>
      <x:c r="L87" s="6" t="n">
        <x:v>46167</x:v>
      </x:c>
      <x:c r="M87" s="6"/>
      <x:c r="N87" s="8" t="n">
        <x:v>79400</x:v>
      </x:c>
      <x:c r="O87" t="str">
        <x:v>Biotech</x:v>
      </x:c>
      <x:c r="P87" t="str">
        <x:v>Yes</x:v>
      </x:c>
      <x:c r="Q87" t="str">
        <x:v>Yes</x:v>
      </x:c>
      <x:c r="R87" s="6" t="n">
        <x:v>46173</x:v>
      </x:c>
    </x:row>
    <x:row r="88">
      <x:c r="A88" t="str">
        <x:v>L-0087</x:v>
      </x:c>
      <x:c r="B88" t="str">
        <x:v>Henry</x:v>
      </x:c>
      <x:c r="C88" t="str">
        <x:v>Jackson</x:v>
      </x:c>
      <x:c r="D88" t="str">
        <x:v>SILVERLINE FOODS</x:v>
      </x:c>
      <x:c r="E88" t="str">
        <x:v>henry.jackson112@examplebiz.com</x:v>
      </x:c>
      <x:c r="F88" t="str">
        <x:v>(874) 880-6816</x:v>
      </x:c>
      <x:c r="G88" t="str">
        <x:v>GA</x:v>
      </x:c>
      <x:c r="H88" t="str">
        <x:v>website</x:v>
      </x:c>
      <x:c r="I88" t="str">
        <x:v>Closed-Lost</x:v>
      </x:c>
      <x:c r="J88" t="str">
        <x:v>Jordan Lee</x:v>
      </x:c>
      <x:c r="K88" s="6" t="n">
        <x:v>46067</x:v>
      </x:c>
      <x:c r="L88" s="6" t="n">
        <x:v>46204</x:v>
      </x:c>
      <x:c r="M88" s="6"/>
      <x:c r="N88" s="8" t="n">
        <x:v>51500</x:v>
      </x:c>
      <x:c r="O88" t="str">
        <x:v>Professional Services</x:v>
      </x:c>
      <x:c r="P88" t="str">
        <x:v>Yes</x:v>
      </x:c>
      <x:c r="Q88" t="str">
        <x:v>No</x:v>
      </x:c>
      <x:c r="R88" s="6" t="n">
        <x:v>46209</x:v>
      </x:c>
    </x:row>
    <x:row r="89">
      <x:c r="A89" t="str">
        <x:v>L-0088</x:v>
      </x:c>
      <x:c r="B89" t="str">
        <x:v>harper</x:v>
      </x:c>
      <x:c r="C89" t="str">
        <x:v>Perez</x:v>
      </x:c>
      <x:c r="D89" t="str">
        <x:v>Blue Ridge Supply</x:v>
      </x:c>
      <x:c r="E89" t="str">
        <x:v>harper.perez467@examplebiz.com</x:v>
      </x:c>
      <x:c r="F89" t="str">
        <x:v>(734) 694-6706</x:v>
      </x:c>
      <x:c r="G89" t="str">
        <x:v>CO</x:v>
      </x:c>
      <x:c r="H89" t="str">
        <x:v>WEBINAR</x:v>
      </x:c>
      <x:c r="I89" t="str">
        <x:v>contacted</x:v>
      </x:c>
      <x:c r="J89" t="str">
        <x:v>Casey Patel</x:v>
      </x:c>
      <x:c r="K89" s="6" t="n">
        <x:v>46225</x:v>
      </x:c>
      <x:c r="L89" s="6" t="n">
        <x:v>46228</x:v>
      </x:c>
      <x:c r="M89" s="6" t="n">
        <x:v>46235</x:v>
      </x:c>
      <x:c r="N89" s="8" t="n">
        <x:v>31200</x:v>
      </x:c>
      <x:c r="O89" t="str">
        <x:v>Biotech</x:v>
      </x:c>
      <x:c r="P89" t="str">
        <x:v>No</x:v>
      </x:c>
      <x:c r="Q89" t="str">
        <x:v>No</x:v>
      </x:c>
      <x:c r="R89" s="6"/>
    </x:row>
    <x:row r="90">
      <x:c r="A90" t="str">
        <x:v>L-0089</x:v>
      </x:c>
      <x:c r="B90" t="str">
        <x:v>elijah</x:v>
      </x:c>
      <x:c r="C90" t="str">
        <x:v>Garcia</x:v>
      </x:c>
      <x:c r="D90" t="str">
        <x:v> Redstone Consulting </x:v>
      </x:c>
      <x:c r="E90" t="str">
        <x:v>elijah.garcia30@examplebiz.com</x:v>
      </x:c>
      <x:c r="F90" t="str">
        <x:v>(661) 806-8037</x:v>
      </x:c>
      <x:c r="G90" t="str">
        <x:v>NC</x:v>
      </x:c>
      <x:c r="H90" t="str">
        <x:v>WEB</x:v>
      </x:c>
      <x:c r="I90" t="str">
        <x:v>Contact</x:v>
      </x:c>
      <x:c r="J90" t="str">
        <x:v>Morgan Reed</x:v>
      </x:c>
      <x:c r="K90" s="6" t="n">
        <x:v>46199</x:v>
      </x:c>
      <x:c r="L90" s="6" t="n">
        <x:v>46210</x:v>
      </x:c>
      <x:c r="M90" s="6" t="n">
        <x:v>46233</x:v>
      </x:c>
      <x:c r="N90" s="8" t="n">
        <x:v>56700</x:v>
      </x:c>
      <x:c r="O90" t="str">
        <x:v>Professional Services</x:v>
      </x:c>
      <x:c r="P90" t="str">
        <x:v>No</x:v>
      </x:c>
      <x:c r="Q90" t="str">
        <x:v>No</x:v>
      </x:c>
      <x:c r="R90" s="6"/>
    </x:row>
    <x:row r="91">
      <x:c r="A91" t="str">
        <x:v>L-0090</x:v>
      </x:c>
      <x:c r="B91" t="str">
        <x:v>Isabella</x:v>
      </x:c>
      <x:c r="C91" t="str">
        <x:v>Thompson</x:v>
      </x:c>
      <x:c r="D91" t="str">
        <x:v>Silverline Foods</x:v>
      </x:c>
      <x:c r="E91" t="str">
        <x:v>isabella.thompson820@prospect.co</x:v>
      </x:c>
      <x:c r="F91" t="str">
        <x:v>(830) 804-2388</x:v>
      </x:c>
      <x:c r="G91" t="str">
        <x:v>WA</x:v>
      </x:c>
      <x:c r="H91" t="str">
        <x:v>website</x:v>
      </x:c>
      <x:c r="I91" t="str">
        <x:v>contacted</x:v>
      </x:c>
      <x:c r="J91" t="str">
        <x:v>Jamie Brooks</x:v>
      </x:c>
      <x:c r="K91" s="6" t="n">
        <x:v>46129</x:v>
      </x:c>
      <x:c r="L91" s="6" t="n">
        <x:v>46208</x:v>
      </x:c>
      <x:c r="M91" s="6" t="n">
        <x:v>46216</x:v>
      </x:c>
      <x:c r="N91" s="8" t="n">
        <x:v>69600</x:v>
      </x:c>
      <x:c r="O91" t="str">
        <x:v>Professional Services</x:v>
      </x:c>
      <x:c r="P91" t="str">
        <x:v>No</x:v>
      </x:c>
      <x:c r="Q91" t="str">
        <x:v>No</x:v>
      </x:c>
      <x:c r="R91" s="6"/>
    </x:row>
    <x:row r="92">
      <x:c r="A92" t="str">
        <x:v>L-0091</x:v>
      </x:c>
      <x:c r="B92" t="str">
        <x:v>Emma</x:v>
      </x:c>
      <x:c r="C92" t="str">
        <x:v>Garcia</x:v>
      </x:c>
      <x:c r="D92" t="str">
        <x:v>Redstone Consulting</x:v>
      </x:c>
      <x:c r="E92" t="str">
        <x:v>emma.garcia987@mailhub.net</x:v>
      </x:c>
      <x:c r="F92" t="str">
        <x:v>(619) 901-9056</x:v>
      </x:c>
      <x:c r="G92" t="str">
        <x:v>WA</x:v>
      </x:c>
      <x:c r="H92" t="str">
        <x:v> Website </x:v>
      </x:c>
      <x:c r="I92" t="str">
        <x:v>Contacted</x:v>
      </x:c>
      <x:c r="J92" t="str">
        <x:v>Morgan Reed</x:v>
      </x:c>
      <x:c r="K92" s="6" t="n">
        <x:v>46244</x:v>
      </x:c>
      <x:c r="L92" s="6" t="n">
        <x:v>46251</x:v>
      </x:c>
      <x:c r="M92" s="6" t="n">
        <x:v>46258</x:v>
      </x:c>
      <x:c r="N92" s="8" t="n">
        <x:v>18600</x:v>
      </x:c>
      <x:c r="O92" t="str">
        <x:v>Logistics</x:v>
      </x:c>
      <x:c r="P92" t="str">
        <x:v>No</x:v>
      </x:c>
      <x:c r="Q92" t="str">
        <x:v>No</x:v>
      </x:c>
      <x:c r="R92" s="6"/>
    </x:row>
    <x:row r="93">
      <x:c r="A93" t="str">
        <x:v>L-0092</x:v>
      </x:c>
      <x:c r="B93" t="str">
        <x:v>Sophia</x:v>
      </x:c>
      <x:c r="C93" t="str">
        <x:v>Lee</x:v>
      </x:c>
      <x:c r="D93" t="str">
        <x:v>Pioneer Tech</x:v>
      </x:c>
      <x:c r="E93" t="str">
        <x:v>sophia.lee896@northmail.com</x:v>
      </x:c>
      <x:c r="F93" t="str">
        <x:v>(661) 469-6711</x:v>
      </x:c>
      <x:c r="G93" t="str">
        <x:v>PA</x:v>
      </x:c>
      <x:c r="H93" t="str">
        <x:v>WEBINAR</x:v>
      </x:c>
      <x:c r="I93" t="str">
        <x:v>contacted</x:v>
      </x:c>
      <x:c r="J93" t="str">
        <x:v>Casey Patel</x:v>
      </x:c>
      <x:c r="K93" s="6" t="n">
        <x:v>46138</x:v>
      </x:c>
      <x:c r="L93" s="6" t="n">
        <x:v>46151</x:v>
      </x:c>
      <x:c r="M93" s="6" t="n">
        <x:v>46174</x:v>
      </x:c>
      <x:c r="N93" s="8" t="n">
        <x:v>64500</x:v>
      </x:c>
      <x:c r="O93" t="str">
        <x:v>Healthcare</x:v>
      </x:c>
      <x:c r="P93" t="str">
        <x:v>No</x:v>
      </x:c>
      <x:c r="Q93" t="str">
        <x:v>No</x:v>
      </x:c>
      <x:c r="R93" s="6"/>
    </x:row>
    <x:row r="94">
      <x:c r="A94" t="str">
        <x:v>L-0093</x:v>
      </x:c>
      <x:c r="B94" t="str">
        <x:v>Olivia</x:v>
      </x:c>
      <x:c r="C94" t="str">
        <x:v>Johnson</x:v>
      </x:c>
      <x:c r="D94" t="str">
        <x:v>Pioneer Tech</x:v>
      </x:c>
      <x:c r="E94" t="str">
        <x:v>olivia.johnson922@northmail.com</x:v>
      </x:c>
      <x:c r="F94" t="str">
        <x:v>(339) 968-7743</x:v>
      </x:c>
      <x:c r="G94" t="str">
        <x:v>WA</x:v>
      </x:c>
      <x:c r="H94" t="str">
        <x:v>WEBINAR</x:v>
      </x:c>
      <x:c r="I94" t="str">
        <x:v>CONTACTED</x:v>
      </x:c>
      <x:c r="J94" t="str">
        <x:v>Alex Kim</x:v>
      </x:c>
      <x:c r="K94" s="6" t="n">
        <x:v>46066</x:v>
      </x:c>
      <x:c r="L94" s="6" t="n">
        <x:v>46140</x:v>
      </x:c>
      <x:c r="M94" s="6" t="n">
        <x:v>46152</x:v>
      </x:c>
      <x:c r="N94" s="8" t="n">
        <x:v>49800</x:v>
      </x:c>
      <x:c r="O94" t="str">
        <x:v>Financial Services</x:v>
      </x:c>
      <x:c r="P94" t="str">
        <x:v>No</x:v>
      </x:c>
      <x:c r="Q94" t="str">
        <x:v>No</x:v>
      </x:c>
      <x:c r="R94" s="6"/>
    </x:row>
    <x:row r="95">
      <x:c r="A95" t="str">
        <x:v>L-0094</x:v>
      </x:c>
      <x:c r="B95" t="str">
        <x:v>Amelia</x:v>
      </x:c>
      <x:c r="C95" t="str">
        <x:v>Moore</x:v>
      </x:c>
      <x:c r="D95" t="str">
        <x:v>BrightPath Health</x:v>
      </x:c>
      <x:c r="E95" t="str">
        <x:v>amelia.moore890@northmail.com</x:v>
      </x:c>
      <x:c r="F95" t="str">
        <x:v>(949) 669-6869</x:v>
      </x:c>
      <x:c r="G95" t="str">
        <x:v>AZ</x:v>
      </x:c>
      <x:c r="H95" t="str">
        <x:v>webinar</x:v>
      </x:c>
      <x:c r="I95" t="str">
        <x:v>Contacted</x:v>
      </x:c>
      <x:c r="J95" t="str">
        <x:v>JORDAN LEE</x:v>
      </x:c>
      <x:c r="K95" s="6" t="n">
        <x:v>46152</x:v>
      </x:c>
      <x:c r="L95" s="6" t="n">
        <x:v>46210</x:v>
      </x:c>
      <x:c r="M95" s="6" t="n">
        <x:v>46228</x:v>
      </x:c>
      <x:c r="N95" s="8" t="n">
        <x:v>29500</x:v>
      </x:c>
      <x:c r="O95" t="str">
        <x:v>Technology</x:v>
      </x:c>
      <x:c r="P95" t="str">
        <x:v>No</x:v>
      </x:c>
      <x:c r="Q95" t="str">
        <x:v>No</x:v>
      </x:c>
      <x:c r="R95" s="6"/>
    </x:row>
    <x:row r="96">
      <x:c r="A96" t="str">
        <x:v>L-0095</x:v>
      </x:c>
      <x:c r="B96" t="str">
        <x:v>Harper</x:v>
      </x:c>
      <x:c r="C96" t="str">
        <x:v>Smith</x:v>
      </x:c>
      <x:c r="D96" t="str">
        <x:v>Summit Analytics</x:v>
      </x:c>
      <x:c r="E96" t="str">
        <x:v> harper.smith904@prospect.co </x:v>
      </x:c>
      <x:c r="F96" t="str">
        <x:v>(363) 480-2529</x:v>
      </x:c>
      <x:c r="G96" t="str">
        <x:v>NC</x:v>
      </x:c>
      <x:c r="H96" t="str">
        <x:v>Webinar</x:v>
      </x:c>
      <x:c r="I96" t="str">
        <x:v>Closed-Lost</x:v>
      </x:c>
      <x:c r="J96" t="str">
        <x:v>TAYLOR MORGAN</x:v>
      </x:c>
      <x:c r="K96" s="6" t="n">
        <x:v>46137</x:v>
      </x:c>
      <x:c r="L96" s="6" t="n">
        <x:v>46162</x:v>
      </x:c>
      <x:c r="M96" s="6"/>
      <x:c r="N96" s="8" t="n">
        <x:v>84600</x:v>
      </x:c>
      <x:c r="O96" t="str">
        <x:v>Manufacturing</x:v>
      </x:c>
      <x:c r="P96" t="str">
        <x:v>Yes</x:v>
      </x:c>
      <x:c r="Q96" t="str">
        <x:v>No</x:v>
      </x:c>
      <x:c r="R96" s="6" t="n">
        <x:v>46166</x:v>
      </x:c>
    </x:row>
    <x:row r="97">
      <x:c r="A97" t="str">
        <x:v>L-0096</x:v>
      </x:c>
      <x:c r="B97" t="str">
        <x:v>LUNA</x:v>
      </x:c>
      <x:c r="C97" t="str">
        <x:v>Davis</x:v>
      </x:c>
      <x:c r="D97" t="str">
        <x:v>Prairie Health</x:v>
      </x:c>
      <x:c r="E97" t="str">
        <x:v>luna.davis235@mailhub.net</x:v>
      </x:c>
      <x:c r="F97" t="str">
        <x:v>(292) 948-2678</x:v>
      </x:c>
      <x:c r="G97" t="str">
        <x:v>CO</x:v>
      </x:c>
      <x:c r="H97" t="str">
        <x:v>linkedin</x:v>
      </x:c>
      <x:c r="I97" t="str">
        <x:v>closed won</x:v>
      </x:c>
      <x:c r="J97" t="str">
        <x:v>Jordan Lee</x:v>
      </x:c>
      <x:c r="K97" s="6" t="n">
        <x:v>46138</x:v>
      </x:c>
      <x:c r="L97" s="6" t="n">
        <x:v>46226</x:v>
      </x:c>
      <x:c r="M97" s="6"/>
      <x:c r="N97" s="8" t="n">
        <x:v>13400</x:v>
      </x:c>
      <x:c r="O97" t="str">
        <x:v>Healthcare</x:v>
      </x:c>
      <x:c r="P97" t="str">
        <x:v>Yes</x:v>
      </x:c>
      <x:c r="Q97" t="str">
        <x:v>Yes</x:v>
      </x:c>
      <x:c r="R97" s="6" t="n">
        <x:v>46228</x:v>
      </x:c>
    </x:row>
    <x:row r="98">
      <x:c r="A98" t="str">
        <x:v>L-0097</x:v>
      </x:c>
      <x:c r="B98" t="str">
        <x:v>Henry</x:v>
      </x:c>
      <x:c r="C98" t="str">
        <x:v> Moore </x:v>
      </x:c>
      <x:c r="D98" t="str">
        <x:v>Apex Manufacturing</x:v>
      </x:c>
      <x:c r="E98" t="str">
        <x:v>elijah.garcia30@examplebiz.com</x:v>
      </x:c>
      <x:c r="F98" t="str">
        <x:v>(454) 483-2380</x:v>
      </x:c>
      <x:c r="G98" t="str">
        <x:v>TX</x:v>
      </x:c>
      <x:c r="H98" t="str">
        <x:v>Website</x:v>
      </x:c>
      <x:c r="I98" t="str">
        <x:v>New</x:v>
      </x:c>
      <x:c r="J98" t="str">
        <x:v>Casey Patel</x:v>
      </x:c>
      <x:c r="K98" s="6" t="n">
        <x:v>46060</x:v>
      </x:c>
      <x:c r="L98" s="6" t="n">
        <x:v>46158</x:v>
      </x:c>
      <x:c r="M98" s="6" t="n">
        <x:v>46172</x:v>
      </x:c>
      <x:c r="N98" s="8" t="n">
        <x:v>82000</x:v>
      </x:c>
      <x:c r="O98" t="str">
        <x:v>Technology</x:v>
      </x:c>
      <x:c r="P98" t="str">
        <x:v>No</x:v>
      </x:c>
      <x:c r="Q98" t="str">
        <x:v>No</x:v>
      </x:c>
      <x:c r="R98" s="6"/>
    </x:row>
    <x:row r="99">
      <x:c r="A99" t="str">
        <x:v>L-0098</x:v>
      </x:c>
      <x:c r="B99" t="str">
        <x:v>NOAH</x:v>
      </x:c>
      <x:c r="C99" t="str">
        <x:v>DAVIS</x:v>
      </x:c>
      <x:c r="D99" t="str">
        <x:v>Atlas Commerce</x:v>
      </x:c>
      <x:c r="E99" t="str">
        <x:v>noah.davis431@prospect.co</x:v>
      </x:c>
      <x:c r="F99" t="str"/>
      <x:c r="G99" t="str">
        <x:v>GA</x:v>
      </x:c>
      <x:c r="H99" t="str">
        <x:v>Email</x:v>
      </x:c>
      <x:c r="I99" t="str">
        <x:v>new</x:v>
      </x:c>
      <x:c r="J99" t="str">
        <x:v>Alex Kim</x:v>
      </x:c>
      <x:c r="K99" s="6" t="n">
        <x:v>46154</x:v>
      </x:c>
      <x:c r="L99" s="6" t="n">
        <x:v>46194</x:v>
      </x:c>
      <x:c r="M99" s="6" t="n">
        <x:v>46201</x:v>
      </x:c>
      <x:c r="N99" s="8" t="n">
        <x:v>34400</x:v>
      </x:c>
      <x:c r="O99" t="str">
        <x:v>Technology</x:v>
      </x:c>
      <x:c r="P99" t="str">
        <x:v>No</x:v>
      </x:c>
      <x:c r="Q99" t="str">
        <x:v>No</x:v>
      </x:c>
      <x:c r="R99" s="6"/>
    </x:row>
    <x:row r="100">
      <x:c r="A100" t="str">
        <x:v>L-0099</x:v>
      </x:c>
      <x:c r="B100" t="str">
        <x:v>Mia</x:v>
      </x:c>
      <x:c r="C100" t="str">
        <x:v>Lee</x:v>
      </x:c>
      <x:c r="D100" t="str">
        <x:v>Blue Ridge Supply</x:v>
      </x:c>
      <x:c r="E100" t="str">
        <x:v>mia.lee601@northmail.com</x:v>
      </x:c>
      <x:c r="F100" t="str">
        <x:v>(518) 915-8167</x:v>
      </x:c>
      <x:c r="G100" t="str">
        <x:v>TX</x:v>
      </x:c>
      <x:c r="H100" t="str">
        <x:v>referral</x:v>
      </x:c>
      <x:c r="I100" t="str">
        <x:v>Qualified</x:v>
      </x:c>
      <x:c r="J100" t="str">
        <x:v> Morgan Reed </x:v>
      </x:c>
      <x:c r="K100" s="6" t="n">
        <x:v>46194</x:v>
      </x:c>
      <x:c r="L100" s="6" t="n">
        <x:v>46245</x:v>
      </x:c>
      <x:c r="M100" s="6" t="n">
        <x:v>46252</x:v>
      </x:c>
      <x:c r="N100" s="8" t="n">
        <x:v>46800</x:v>
      </x:c>
      <x:c r="O100" t="str">
        <x:v>Financial Services</x:v>
      </x:c>
      <x:c r="P100" t="str">
        <x:v>Yes</x:v>
      </x:c>
      <x:c r="Q100" t="str">
        <x:v>No</x:v>
      </x:c>
      <x:c r="R100" s="6"/>
    </x:row>
    <x:row r="101">
      <x:c r="A101" t="str">
        <x:v>L-0100</x:v>
      </x:c>
      <x:c r="B101" t="str">
        <x:v>Logan</x:v>
      </x:c>
      <x:c r="C101" t="str">
        <x:v>Martin</x:v>
      </x:c>
      <x:c r="D101" t="str">
        <x:v>horizon bio</x:v>
      </x:c>
      <x:c r="E101" t="str">
        <x:v>luna.lee765@mailhub.net</x:v>
      </x:c>
      <x:c r="F101" t="str">
        <x:v>(479) 736-2046</x:v>
      </x:c>
      <x:c r="G101" t="str">
        <x:v>IL</x:v>
      </x:c>
      <x:c r="H101" t="str">
        <x:v>website</x:v>
      </x:c>
      <x:c r="I101" t="str">
        <x:v>Closed Won</x:v>
      </x:c>
      <x:c r="J101" t="str">
        <x:v>JORDAN LEE</x:v>
      </x:c>
      <x:c r="K101" s="6" t="n">
        <x:v>46178</x:v>
      </x:c>
      <x:c r="L101" s="6" t="n">
        <x:v>46193</x:v>
      </x:c>
      <x:c r="M101" s="6"/>
      <x:c r="N101" s="8" t="n">
        <x:v>66100</x:v>
      </x:c>
      <x:c r="O101" t="str">
        <x:v>Manufacturing</x:v>
      </x:c>
      <x:c r="P101" t="str">
        <x:v>Yes</x:v>
      </x:c>
      <x:c r="Q101" t="str">
        <x:v>Yes</x:v>
      </x:c>
      <x:c r="R101" s="6" t="n">
        <x:v>46195</x:v>
      </x:c>
    </x:row>
    <x:row r="102">
      <x:c r="A102" t="str">
        <x:v>L-0101</x:v>
      </x:c>
      <x:c r="B102" t="str">
        <x:v>Ava</x:v>
      </x:c>
      <x:c r="C102" t="str">
        <x:v>Davis</x:v>
      </x:c>
      <x:c r="D102" t="str">
        <x:v>Peakline Systems</x:v>
      </x:c>
      <x:c r="E102" t="str">
        <x:v> ava.davis230@prospect.co </x:v>
      </x:c>
      <x:c r="F102" t="str">
        <x:v>(455) 626-6241</x:v>
      </x:c>
      <x:c r="G102" t="str">
        <x:v>IL</x:v>
      </x:c>
      <x:c r="H102" t="str">
        <x:v>REFERRAL</x:v>
      </x:c>
      <x:c r="I102" t="str">
        <x:v>new</x:v>
      </x:c>
      <x:c r="J102" t="str">
        <x:v>Morgan Reed</x:v>
      </x:c>
      <x:c r="K102" s="6" t="n">
        <x:v>46237</x:v>
      </x:c>
      <x:c r="L102" s="6" t="n">
        <x:v>46245</x:v>
      </x:c>
      <x:c r="M102" s="6" t="n">
        <x:v>46270</x:v>
      </x:c>
      <x:c r="N102" s="8" t="n">
        <x:v>63600</x:v>
      </x:c>
      <x:c r="O102" t="str">
        <x:v>Logistics</x:v>
      </x:c>
      <x:c r="P102" t="str">
        <x:v>No</x:v>
      </x:c>
      <x:c r="Q102" t="str">
        <x:v>No</x:v>
      </x:c>
      <x:c r="R102" s="6"/>
    </x:row>
    <x:row r="103">
      <x:c r="A103" t="str">
        <x:v>L-0102</x:v>
      </x:c>
      <x:c r="B103" t="str">
        <x:v>Elijah</x:v>
      </x:c>
      <x:c r="C103" t="str">
        <x:v>MOORE</x:v>
      </x:c>
      <x:c r="D103" t="str">
        <x:v>Northstar Labs</x:v>
      </x:c>
      <x:c r="E103" t="str"/>
      <x:c r="F103" t="str">
        <x:v>(401) 950-9954</x:v>
      </x:c>
      <x:c r="G103" t="str">
        <x:v>FL</x:v>
      </x:c>
      <x:c r="H103" t="str">
        <x:v>REFERRAL</x:v>
      </x:c>
      <x:c r="I103" t="str">
        <x:v>Closed Won</x:v>
      </x:c>
      <x:c r="J103" t="str">
        <x:v> Casey Patel </x:v>
      </x:c>
      <x:c r="K103" s="6" t="n">
        <x:v>46057</x:v>
      </x:c>
      <x:c r="L103" s="6" t="n">
        <x:v>46216</x:v>
      </x:c>
      <x:c r="M103" s="6"/>
      <x:c r="N103" s="8" t="n">
        <x:v>22500</x:v>
      </x:c>
      <x:c r="O103" t="str">
        <x:v>Biotech</x:v>
      </x:c>
      <x:c r="P103" t="str">
        <x:v>Yes</x:v>
      </x:c>
      <x:c r="Q103" t="str">
        <x:v>Yes</x:v>
      </x:c>
      <x:c r="R103" s="6" t="n">
        <x:v>46216</x:v>
      </x:c>
    </x:row>
    <x:row r="104">
      <x:c r="A104" t="str">
        <x:v>L-0103</x:v>
      </x:c>
      <x:c r="B104" t="str">
        <x:v>Mason</x:v>
      </x:c>
      <x:c r="C104" t="str">
        <x:v>Taylor</x:v>
      </x:c>
      <x:c r="D104" t="str">
        <x:v>Atlas Commerce</x:v>
      </x:c>
      <x:c r="E104" t="str">
        <x:v>mason.taylor998@northmail.com</x:v>
      </x:c>
      <x:c r="F104" t="str">
        <x:v>(795) 297-9280</x:v>
      </x:c>
      <x:c r="G104" t="str">
        <x:v>CA</x:v>
      </x:c>
      <x:c r="H104" t="str">
        <x:v>LINKEDIN</x:v>
      </x:c>
      <x:c r="I104" t="str">
        <x:v>new</x:v>
      </x:c>
      <x:c r="J104" t="str">
        <x:v>Morgan Reed</x:v>
      </x:c>
      <x:c r="K104" s="6" t="n">
        <x:v>46187</x:v>
      </x:c>
      <x:c r="L104" s="6" t="n">
        <x:v>46239</x:v>
      </x:c>
      <x:c r="M104" s="6" t="n">
        <x:v>46264</x:v>
      </x:c>
      <x:c r="N104" s="8" t="n">
        <x:v>76400</x:v>
      </x:c>
      <x:c r="O104" t="str">
        <x:v>Healthcare</x:v>
      </x:c>
      <x:c r="P104" t="str">
        <x:v>No</x:v>
      </x:c>
      <x:c r="Q104" t="str">
        <x:v>No</x:v>
      </x:c>
      <x:c r="R104" s="6"/>
    </x:row>
    <x:row r="105">
      <x:c r="A105" t="str">
        <x:v>L-0104</x:v>
      </x:c>
      <x:c r="B105" t="str">
        <x:v>MASON</x:v>
      </x:c>
      <x:c r="C105" t="str">
        <x:v>Williams</x:v>
      </x:c>
      <x:c r="D105" t="str">
        <x:v>Apex Manufacturing</x:v>
      </x:c>
      <x:c r="E105" t="str">
        <x:v> mason.williams367@examplebiz.com </x:v>
      </x:c>
      <x:c r="F105" t="str">
        <x:v>(663) 515-8591</x:v>
      </x:c>
      <x:c r="G105" t="str">
        <x:v>WA</x:v>
      </x:c>
      <x:c r="H105" t="str">
        <x:v>WEB</x:v>
      </x:c>
      <x:c r="I105" t="str">
        <x:v>new</x:v>
      </x:c>
      <x:c r="J105" t="str">
        <x:v>Alex Kim</x:v>
      </x:c>
      <x:c r="K105" s="6" t="n">
        <x:v>46131</x:v>
      </x:c>
      <x:c r="L105" s="6" t="n">
        <x:v>46190</x:v>
      </x:c>
      <x:c r="M105" s="6" t="n">
        <x:v>46203</x:v>
      </x:c>
      <x:c r="N105" s="8" t="n">
        <x:v>36000</x:v>
      </x:c>
      <x:c r="O105" t="str">
        <x:v>Manufacturing</x:v>
      </x:c>
      <x:c r="P105" t="str">
        <x:v>No</x:v>
      </x:c>
      <x:c r="Q105" t="str">
        <x:v>No</x:v>
      </x:c>
      <x:c r="R105" s="6"/>
    </x:row>
    <x:row r="106">
      <x:c r="A106" t="str">
        <x:v>L-0105</x:v>
      </x:c>
      <x:c r="B106" t="str">
        <x:v>Lucas</x:v>
      </x:c>
      <x:c r="C106" t="str">
        <x:v>Rodriguez</x:v>
      </x:c>
      <x:c r="D106" t="str">
        <x:v>CEDARWORKS</x:v>
      </x:c>
      <x:c r="E106" t="str">
        <x:v> lucas.rodriguez125@northmail.com </x:v>
      </x:c>
      <x:c r="F106" t="str">
        <x:v>(264) 999-4641</x:v>
      </x:c>
      <x:c r="G106" t="str">
        <x:v>AZ</x:v>
      </x:c>
      <x:c r="H106" t="str">
        <x:v>Email</x:v>
      </x:c>
      <x:c r="I106" t="str">
        <x:v>qualified</x:v>
      </x:c>
      <x:c r="J106" t="str">
        <x:v>taylor morgan</x:v>
      </x:c>
      <x:c r="K106" s="6" t="n">
        <x:v>46106</x:v>
      </x:c>
      <x:c r="L106" s="6" t="n">
        <x:v>46169</x:v>
      </x:c>
      <x:c r="M106" s="6" t="n">
        <x:v>46175</x:v>
      </x:c>
      <x:c r="N106" s="8" t="n">
        <x:v>40600</x:v>
      </x:c>
      <x:c r="O106" t="str">
        <x:v>Healthcare</x:v>
      </x:c>
      <x:c r="P106" t="str">
        <x:v>Yes</x:v>
      </x:c>
      <x:c r="Q106" t="str">
        <x:v>No</x:v>
      </x:c>
      <x:c r="R106" s="6"/>
    </x:row>
    <x:row r="107">
      <x:c r="A107" t="str">
        <x:v>L-0106</x:v>
      </x:c>
      <x:c r="B107" t="str">
        <x:v>Isabella</x:v>
      </x:c>
      <x:c r="C107" t="str">
        <x:v>Brown</x:v>
      </x:c>
      <x:c r="D107" t="str">
        <x:v>Peakline Systems</x:v>
      </x:c>
      <x:c r="E107" t="str">
        <x:v>isabella.brown700@mailhub.net</x:v>
      </x:c>
      <x:c r="F107" t="str">
        <x:v>(377) 562-4517</x:v>
      </x:c>
      <x:c r="G107" t="str">
        <x:v>CO</x:v>
      </x:c>
      <x:c r="H107" t="str">
        <x:v> Website </x:v>
      </x:c>
      <x:c r="I107" t="str">
        <x:v>qualified</x:v>
      </x:c>
      <x:c r="J107" t="str">
        <x:v>Morgan Reed</x:v>
      </x:c>
      <x:c r="K107" s="6" t="n">
        <x:v>46036</x:v>
      </x:c>
      <x:c r="L107" s="6" t="n">
        <x:v>46221</x:v>
      </x:c>
      <x:c r="M107" s="6" t="n">
        <x:v>46236</x:v>
      </x:c>
      <x:c r="N107" s="8" t="n">
        <x:v>43400</x:v>
      </x:c>
      <x:c r="O107" t="str">
        <x:v>Logistics</x:v>
      </x:c>
      <x:c r="P107" t="str">
        <x:v>Yes</x:v>
      </x:c>
      <x:c r="Q107" t="str">
        <x:v>No</x:v>
      </x:c>
      <x:c r="R107" s="6"/>
    </x:row>
    <x:row r="108">
      <x:c r="A108" t="str">
        <x:v>L-0107</x:v>
      </x:c>
      <x:c r="B108" t="str">
        <x:v>Evelyn</x:v>
      </x:c>
      <x:c r="C108" t="str">
        <x:v>Davis</x:v>
      </x:c>
      <x:c r="D108" t="str"/>
      <x:c r="E108" t="str">
        <x:v>evelyn.davis277@examplebiz.com</x:v>
      </x:c>
      <x:c r="F108" t="str">
        <x:v>(227) 526-4588</x:v>
      </x:c>
      <x:c r="G108" t="str">
        <x:v>PA</x:v>
      </x:c>
      <x:c r="H108" t="str">
        <x:v>referral</x:v>
      </x:c>
      <x:c r="I108" t="str">
        <x:v>QUALIFIED</x:v>
      </x:c>
      <x:c r="J108" t="str">
        <x:v>Morgan Reed</x:v>
      </x:c>
      <x:c r="K108" s="6" t="n">
        <x:v>46122</x:v>
      </x:c>
      <x:c r="L108" s="6" t="n">
        <x:v>46210</x:v>
      </x:c>
      <x:c r="M108" s="6" t="n">
        <x:v>46231</x:v>
      </x:c>
      <x:c r="N108" s="8" t="n">
        <x:v>43900</x:v>
      </x:c>
      <x:c r="O108" t="str">
        <x:v>Professional Services</x:v>
      </x:c>
      <x:c r="P108" t="str">
        <x:v>Yes</x:v>
      </x:c>
      <x:c r="Q108" t="str">
        <x:v>No</x:v>
      </x:c>
      <x:c r="R108" s="6"/>
    </x:row>
    <x:row r="109">
      <x:c r="A109" t="str">
        <x:v>L-0108</x:v>
      </x:c>
      <x:c r="B109" t="str">
        <x:v>Liam</x:v>
      </x:c>
      <x:c r="C109" t="str">
        <x:v>davis</x:v>
      </x:c>
      <x:c r="D109" t="str">
        <x:v>Silverline Foods</x:v>
      </x:c>
      <x:c r="E109" t="str">
        <x:v>liam.davis29@prospect.co</x:v>
      </x:c>
      <x:c r="F109" t="str">
        <x:v>(782) 777-3328</x:v>
      </x:c>
      <x:c r="G109" t="str">
        <x:v>CA</x:v>
      </x:c>
      <x:c r="H109" t="str">
        <x:v>Website</x:v>
      </x:c>
      <x:c r="I109" t="str">
        <x:v>QUALIFIED</x:v>
      </x:c>
      <x:c r="J109" t="str">
        <x:v>Alex Kim</x:v>
      </x:c>
      <x:c r="K109" s="6" t="n">
        <x:v>46040</x:v>
      </x:c>
      <x:c r="L109" s="6" t="n">
        <x:v>46228</x:v>
      </x:c>
      <x:c r="M109" s="6" t="n">
        <x:v>46253</x:v>
      </x:c>
      <x:c r="N109" s="8" t="n">
        <x:v>32100</x:v>
      </x:c>
      <x:c r="O109" t="str">
        <x:v>Biotech</x:v>
      </x:c>
      <x:c r="P109" t="str">
        <x:v>Yes</x:v>
      </x:c>
      <x:c r="Q109" t="str">
        <x:v>No</x:v>
      </x:c>
      <x:c r="R109" s="6"/>
    </x:row>
    <x:row r="110">
      <x:c r="A110" t="str">
        <x:v>L-0109</x:v>
      </x:c>
      <x:c r="B110" t="str">
        <x:v>Olivia</x:v>
      </x:c>
      <x:c r="C110" t="str">
        <x:v>Jones</x:v>
      </x:c>
      <x:c r="D110" t="str">
        <x:v>Redstone Consulting</x:v>
      </x:c>
      <x:c r="E110" t="str">
        <x:v>olivia.jones984@northmail.com</x:v>
      </x:c>
      <x:c r="F110" t="str">
        <x:v>(583) 921-7481</x:v>
      </x:c>
      <x:c r="G110" t="str">
        <x:v>IL</x:v>
      </x:c>
      <x:c r="H110" t="str">
        <x:v>WEB</x:v>
      </x:c>
      <x:c r="I110" t="str">
        <x:v>New</x:v>
      </x:c>
      <x:c r="J110" t="str">
        <x:v>Casey Patel</x:v>
      </x:c>
      <x:c r="K110" s="6" t="n">
        <x:v>46066</x:v>
      </x:c>
      <x:c r="L110" s="6" t="n">
        <x:v>46102</x:v>
      </x:c>
      <x:c r="M110" s="6" t="n">
        <x:v>46108</x:v>
      </x:c>
      <x:c r="N110" s="8" t="n">
        <x:v>72300</x:v>
      </x:c>
      <x:c r="O110" t="str">
        <x:v>Manufacturing</x:v>
      </x:c>
      <x:c r="P110" t="str">
        <x:v>No</x:v>
      </x:c>
      <x:c r="Q110" t="str">
        <x:v>No</x:v>
      </x:c>
      <x:c r="R110" s="6"/>
    </x:row>
    <x:row r="111">
      <x:c r="A111" t="str">
        <x:v>L-0110</x:v>
      </x:c>
      <x:c r="B111" t="str">
        <x:v>Ethan</x:v>
      </x:c>
      <x:c r="C111" t="str">
        <x:v>Thomas</x:v>
      </x:c>
      <x:c r="D111" t="str">
        <x:v>Evergreen Services</x:v>
      </x:c>
      <x:c r="E111" t="str">
        <x:v>ethan.thomas34@examplebiz.com</x:v>
      </x:c>
      <x:c r="F111" t="str">
        <x:v>(817) 525-4619</x:v>
      </x:c>
      <x:c r="G111" t="str">
        <x:v>CA</x:v>
      </x:c>
      <x:c r="H111" t="str">
        <x:v>WEB</x:v>
      </x:c>
      <x:c r="I111" t="str">
        <x:v>new</x:v>
      </x:c>
      <x:c r="J111" t="str">
        <x:v>ALEX KIM</x:v>
      </x:c>
      <x:c r="K111" s="6" t="n">
        <x:v>46067</x:v>
      </x:c>
      <x:c r="L111" s="6" t="n">
        <x:v>46213</x:v>
      </x:c>
      <x:c r="M111" s="6" t="n">
        <x:v>46228</x:v>
      </x:c>
      <x:c r="N111" s="8" t="n">
        <x:v>72700</x:v>
      </x:c>
      <x:c r="O111" t="str">
        <x:v>Financial Services</x:v>
      </x:c>
      <x:c r="P111" t="str">
        <x:v>No</x:v>
      </x:c>
      <x:c r="Q111" t="str">
        <x:v>No</x:v>
      </x:c>
      <x:c r="R111" s="6"/>
    </x:row>
    <x:row r="112">
      <x:c r="A112" t="str">
        <x:v>L-0111</x:v>
      </x:c>
      <x:c r="B112" t="str">
        <x:v> Olivia </x:v>
      </x:c>
      <x:c r="C112" t="str">
        <x:v>DAVIS</x:v>
      </x:c>
      <x:c r="D112" t="str">
        <x:v>BrightPath Health</x:v>
      </x:c>
      <x:c r="E112" t="str">
        <x:v>olivia.davis906@mailhub.net</x:v>
      </x:c>
      <x:c r="F112" t="str">
        <x:v>(705) 587-6754</x:v>
      </x:c>
      <x:c r="G112" t="str">
        <x:v>NY</x:v>
      </x:c>
      <x:c r="H112" t="str">
        <x:v>Email Campaign</x:v>
      </x:c>
      <x:c r="I112" t="str">
        <x:v>Opportunity</x:v>
      </x:c>
      <x:c r="J112" t="str">
        <x:v>Taylor Morgan</x:v>
      </x:c>
      <x:c r="K112" s="6" t="n">
        <x:v>46234</x:v>
      </x:c>
      <x:c r="L112" s="6" t="n">
        <x:v>46246</x:v>
      </x:c>
      <x:c r="M112" s="6" t="n">
        <x:v>46263</x:v>
      </x:c>
      <x:c r="N112" s="8" t="n">
        <x:v>62900</x:v>
      </x:c>
      <x:c r="O112" t="str">
        <x:v>Biotech</x:v>
      </x:c>
      <x:c r="P112" t="str">
        <x:v>Yes</x:v>
      </x:c>
      <x:c r="Q112" t="str">
        <x:v>No</x:v>
      </x:c>
      <x:c r="R112" s="6"/>
    </x:row>
    <x:row r="113">
      <x:c r="A113" t="str">
        <x:v>L-0112</x:v>
      </x:c>
      <x:c r="B113" t="str">
        <x:v>Amelia</x:v>
      </x:c>
      <x:c r="C113" t="str">
        <x:v>Garcia</x:v>
      </x:c>
      <x:c r="D113" t="str">
        <x:v>brightpath health</x:v>
      </x:c>
      <x:c r="E113" t="str">
        <x:v>amelia.garcia622@mailhub.net</x:v>
      </x:c>
      <x:c r="F113" t="str">
        <x:v>(361) 254-2659</x:v>
      </x:c>
      <x:c r="G113" t="str">
        <x:v>IL</x:v>
      </x:c>
      <x:c r="H113" t="str">
        <x:v>TRADE SHOW</x:v>
      </x:c>
      <x:c r="I113" t="str">
        <x:v>Opportunity</x:v>
      </x:c>
      <x:c r="J113" t="str">
        <x:v>TAYLOR MORGAN</x:v>
      </x:c>
      <x:c r="K113" s="6" t="n">
        <x:v>46123</x:v>
      </x:c>
      <x:c r="L113" s="6" t="n">
        <x:v>46130</x:v>
      </x:c>
      <x:c r="M113" s="6" t="n">
        <x:v>46146</x:v>
      </x:c>
      <x:c r="N113" s="8" t="n">
        <x:v>80300</x:v>
      </x:c>
      <x:c r="O113" t="str">
        <x:v>Technology</x:v>
      </x:c>
      <x:c r="P113" t="str">
        <x:v>Yes</x:v>
      </x:c>
      <x:c r="Q113" t="str">
        <x:v>No</x:v>
      </x:c>
      <x:c r="R113" s="6"/>
    </x:row>
    <x:row r="114">
      <x:c r="A114" t="str">
        <x:v>L-0113</x:v>
      </x:c>
      <x:c r="B114" t="str">
        <x:v>Ava</x:v>
      </x:c>
      <x:c r="C114" t="str">
        <x:v> Taylor </x:v>
      </x:c>
      <x:c r="D114" t="str">
        <x:v>BRIGHTPATH HEALTH</x:v>
      </x:c>
      <x:c r="E114" t="str">
        <x:v>ava.taylor84@mailhub.net</x:v>
      </x:c>
      <x:c r="F114" t="str">
        <x:v>(319) 515-7512</x:v>
      </x:c>
      <x:c r="G114" t="str">
        <x:v>OH</x:v>
      </x:c>
      <x:c r="H114" t="str">
        <x:v>trade show</x:v>
      </x:c>
      <x:c r="I114" t="str">
        <x:v>Qualified</x:v>
      </x:c>
      <x:c r="J114" t="str">
        <x:v>casey patel</x:v>
      </x:c>
      <x:c r="K114" s="6" t="n">
        <x:v>46222</x:v>
      </x:c>
      <x:c r="L114" s="6" t="n">
        <x:v>46222</x:v>
      </x:c>
      <x:c r="M114" s="6" t="n">
        <x:v>46231</x:v>
      </x:c>
      <x:c r="N114" s="8" t="n">
        <x:v>16600</x:v>
      </x:c>
      <x:c r="O114" t="str">
        <x:v>Financial Services</x:v>
      </x:c>
      <x:c r="P114" t="str">
        <x:v>Yes</x:v>
      </x:c>
      <x:c r="Q114" t="str">
        <x:v>No</x:v>
      </x:c>
      <x:c r="R114" s="6"/>
    </x:row>
    <x:row r="115">
      <x:c r="A115" t="str">
        <x:v>L-0114</x:v>
      </x:c>
      <x:c r="B115" t="str">
        <x:v>Noah</x:v>
      </x:c>
      <x:c r="C115" t="str">
        <x:v>Williams</x:v>
      </x:c>
      <x:c r="D115" t="str">
        <x:v>pioneer tech</x:v>
      </x:c>
      <x:c r="E115" t="str">
        <x:v>noah.williams704@mailhub.net</x:v>
      </x:c>
      <x:c r="F115" t="str"/>
      <x:c r="G115" t="str">
        <x:v>WA</x:v>
      </x:c>
      <x:c r="H115" t="str">
        <x:v>website</x:v>
      </x:c>
      <x:c r="I115" t="str">
        <x:v>New</x:v>
      </x:c>
      <x:c r="J115" t="str">
        <x:v>Alex Kim</x:v>
      </x:c>
      <x:c r="K115" s="6" t="n">
        <x:v>46147</x:v>
      </x:c>
      <x:c r="L115" s="6" t="n">
        <x:v>46251</x:v>
      </x:c>
      <x:c r="M115" s="6" t="n">
        <x:v>46270</x:v>
      </x:c>
      <x:c r="N115" s="8" t="n">
        <x:v>37000</x:v>
      </x:c>
      <x:c r="O115" t="str">
        <x:v>Professional Services</x:v>
      </x:c>
      <x:c r="P115" t="str">
        <x:v>No</x:v>
      </x:c>
      <x:c r="Q115" t="str">
        <x:v>No</x:v>
      </x:c>
      <x:c r="R115" s="6"/>
    </x:row>
    <x:row r="116">
      <x:c r="A116" t="str">
        <x:v>L-0115</x:v>
      </x:c>
      <x:c r="B116" t="str">
        <x:v>Emma</x:v>
      </x:c>
      <x:c r="C116" t="str">
        <x:v>johnson</x:v>
      </x:c>
      <x:c r="D116" t="str">
        <x:v>vertex solutions</x:v>
      </x:c>
      <x:c r="E116" t="str">
        <x:v>emma.johnson328@northmail.com</x:v>
      </x:c>
      <x:c r="F116" t="str">
        <x:v>(290) 597-7510</x:v>
      </x:c>
      <x:c r="G116" t="str">
        <x:v>OH</x:v>
      </x:c>
      <x:c r="H116" t="str">
        <x:v>Webinar</x:v>
      </x:c>
      <x:c r="I116" t="str">
        <x:v>Closed Lost</x:v>
      </x:c>
      <x:c r="J116" t="str">
        <x:v>Casey Patel</x:v>
      </x:c>
      <x:c r="K116" s="6" t="n">
        <x:v>46086</x:v>
      </x:c>
      <x:c r="L116" s="6" t="n">
        <x:v>46123</x:v>
      </x:c>
      <x:c r="M116" s="6"/>
      <x:c r="N116" s="8" t="n">
        <x:v>71300</x:v>
      </x:c>
      <x:c r="O116" t="str">
        <x:v>Technology</x:v>
      </x:c>
      <x:c r="P116" t="str">
        <x:v>Yes</x:v>
      </x:c>
      <x:c r="Q116" t="str">
        <x:v>No</x:v>
      </x:c>
      <x:c r="R116" s="6" t="n">
        <x:v>46131</x:v>
      </x:c>
    </x:row>
    <x:row r="117">
      <x:c r="A117" t="str">
        <x:v>L-0116</x:v>
      </x:c>
      <x:c r="B117" t="str">
        <x:v>Noah</x:v>
      </x:c>
      <x:c r="C117" t="str">
        <x:v>Martinez</x:v>
      </x:c>
      <x:c r="D117" t="str">
        <x:v>Pioneer Tech</x:v>
      </x:c>
      <x:c r="E117" t="str">
        <x:v>noah.martinez148@mailhub.net</x:v>
      </x:c>
      <x:c r="F117" t="str">
        <x:v>(240) 605-6431</x:v>
      </x:c>
      <x:c r="G117" t="str">
        <x:v>NY</x:v>
      </x:c>
      <x:c r="H117" t="str">
        <x:v>referral</x:v>
      </x:c>
      <x:c r="I117" t="str">
        <x:v>qualified</x:v>
      </x:c>
      <x:c r="J117" t="str"/>
      <x:c r="K117" s="6" t="n">
        <x:v>46091</x:v>
      </x:c>
      <x:c r="L117" s="6" t="n">
        <x:v>46212</x:v>
      </x:c>
      <x:c r="M117" s="6" t="n">
        <x:v>46216</x:v>
      </x:c>
      <x:c r="N117" s="8" t="n">
        <x:v>16700</x:v>
      </x:c>
      <x:c r="O117" t="str">
        <x:v>Professional Services</x:v>
      </x:c>
      <x:c r="P117" t="str">
        <x:v>Yes</x:v>
      </x:c>
      <x:c r="Q117" t="str">
        <x:v>No</x:v>
      </x:c>
      <x:c r="R117" s="6"/>
    </x:row>
    <x:row r="118">
      <x:c r="A118" t="str">
        <x:v>L-0117</x:v>
      </x:c>
      <x:c r="B118" t="str">
        <x:v>Lucas</x:v>
      </x:c>
      <x:c r="C118" t="str">
        <x:v>Moore</x:v>
      </x:c>
      <x:c r="D118" t="str">
        <x:v>REDSTONE CONSULTING</x:v>
      </x:c>
      <x:c r="E118" t="str">
        <x:v>lucas.moore759@mailhub.net</x:v>
      </x:c>
      <x:c r="F118" t="str">
        <x:v>(978) 728-7126</x:v>
      </x:c>
      <x:c r="G118" t="str">
        <x:v>PA</x:v>
      </x:c>
      <x:c r="H118" t="str">
        <x:v>Referral</x:v>
      </x:c>
      <x:c r="I118" t="str">
        <x:v>Opportunity</x:v>
      </x:c>
      <x:c r="J118" t="str">
        <x:v>MORGAN REED</x:v>
      </x:c>
      <x:c r="K118" s="6" t="n">
        <x:v>46198</x:v>
      </x:c>
      <x:c r="L118" s="6" t="n">
        <x:v>46226</x:v>
      </x:c>
      <x:c r="M118" s="6" t="n">
        <x:v>46235</x:v>
      </x:c>
      <x:c r="N118" s="8" t="n">
        <x:v>77900</x:v>
      </x:c>
      <x:c r="O118" t="str">
        <x:v>Financial Services</x:v>
      </x:c>
      <x:c r="P118" t="str">
        <x:v>Yes</x:v>
      </x:c>
      <x:c r="Q118" t="str">
        <x:v>No</x:v>
      </x:c>
      <x:c r="R118" s="6"/>
    </x:row>
    <x:row r="119">
      <x:c r="A119" t="str">
        <x:v>L-0118</x:v>
      </x:c>
      <x:c r="B119" t="str">
        <x:v> Liam </x:v>
      </x:c>
      <x:c r="C119" t="str">
        <x:v>Anderson</x:v>
      </x:c>
      <x:c r="D119" t="str">
        <x:v>Apex Manufacturing</x:v>
      </x:c>
      <x:c r="E119" t="str">
        <x:v>logan.moore73@northmail.com</x:v>
      </x:c>
      <x:c r="F119" t="str">
        <x:v>(382) 685-6730</x:v>
      </x:c>
      <x:c r="G119" t="str">
        <x:v>IL</x:v>
      </x:c>
      <x:c r="H119" t="str">
        <x:v>email campaign</x:v>
      </x:c>
      <x:c r="I119" t="str">
        <x:v>QUALIFIED</x:v>
      </x:c>
      <x:c r="J119" t="str">
        <x:v>Casey Patel</x:v>
      </x:c>
      <x:c r="K119" s="6" t="n">
        <x:v>46084</x:v>
      </x:c>
      <x:c r="L119" s="6" t="n">
        <x:v>46115</x:v>
      </x:c>
      <x:c r="M119" s="6" t="n">
        <x:v>46139</x:v>
      </x:c>
      <x:c r="N119" s="8" t="n">
        <x:v>5000</x:v>
      </x:c>
      <x:c r="O119" t="str">
        <x:v>Financial Services</x:v>
      </x:c>
      <x:c r="P119" t="str">
        <x:v>Yes</x:v>
      </x:c>
      <x:c r="Q119" t="str">
        <x:v>No</x:v>
      </x:c>
      <x:c r="R119" s="6"/>
    </x:row>
    <x:row r="120">
      <x:c r="A120" t="str">
        <x:v>L-0119</x:v>
      </x:c>
      <x:c r="B120" t="str">
        <x:v>EVELYN</x:v>
      </x:c>
      <x:c r="C120" t="str">
        <x:v>Smith</x:v>
      </x:c>
      <x:c r="D120" t="str">
        <x:v>Northstar Labs</x:v>
      </x:c>
      <x:c r="E120" t="str">
        <x:v>evelyn.smith730@prospect.co</x:v>
      </x:c>
      <x:c r="F120" t="str">
        <x:v>(634) 585-6713</x:v>
      </x:c>
      <x:c r="G120" t="str">
        <x:v>CA</x:v>
      </x:c>
      <x:c r="H120" t="str">
        <x:v>LINKEDIN</x:v>
      </x:c>
      <x:c r="I120" t="str">
        <x:v>opportunity</x:v>
      </x:c>
      <x:c r="J120" t="str">
        <x:v>Casey Patel</x:v>
      </x:c>
      <x:c r="K120" s="6" t="n">
        <x:v>46244</x:v>
      </x:c>
      <x:c r="L120" s="6" t="n">
        <x:v>46247</x:v>
      </x:c>
      <x:c r="M120" s="6" t="n">
        <x:v>46258</x:v>
      </x:c>
      <x:c r="N120" s="8" t="n">
        <x:v>52700</x:v>
      </x:c>
      <x:c r="O120" t="str">
        <x:v>Logistics</x:v>
      </x:c>
      <x:c r="P120" t="str">
        <x:v>Yes</x:v>
      </x:c>
      <x:c r="Q120" t="str">
        <x:v>No</x:v>
      </x:c>
      <x:c r="R120" s="6"/>
    </x:row>
    <x:row r="121">
      <x:c r="A121" t="str">
        <x:v>L-0120</x:v>
      </x:c>
      <x:c r="B121" t="str">
        <x:v>Benjamin</x:v>
      </x:c>
      <x:c r="C121" t="str">
        <x:v>Williams</x:v>
      </x:c>
      <x:c r="D121" t="str">
        <x:v>REDSTONE CONSULTING</x:v>
      </x:c>
      <x:c r="E121" t="str">
        <x:v>benjamin.williams784@examplebiz.com</x:v>
      </x:c>
      <x:c r="F121" t="str">
        <x:v>(259) 814-7620</x:v>
      </x:c>
      <x:c r="G121" t="str">
        <x:v>OH</x:v>
      </x:c>
      <x:c r="H121" t="str">
        <x:v>referral</x:v>
      </x:c>
      <x:c r="I121" t="str">
        <x:v>CONTACTED</x:v>
      </x:c>
      <x:c r="J121" t="str">
        <x:v>Alex Kim</x:v>
      </x:c>
      <x:c r="K121" s="6" t="n">
        <x:v>46079</x:v>
      </x:c>
      <x:c r="L121" s="6" t="n">
        <x:v>46245</x:v>
      </x:c>
      <x:c r="M121" s="6" t="n">
        <x:v>46257</x:v>
      </x:c>
      <x:c r="N121" s="8" t="n">
        <x:v>18000</x:v>
      </x:c>
      <x:c r="O121" t="str">
        <x:v>Financial Services</x:v>
      </x:c>
      <x:c r="P121" t="str">
        <x:v>No</x:v>
      </x:c>
      <x:c r="Q121" t="str">
        <x:v>No</x:v>
      </x:c>
      <x:c r="R121" s="6"/>
    </x:row>
    <x:row r="122">
      <x:c r="A122" t="str">
        <x:v>L-0121</x:v>
      </x:c>
      <x:c r="B122" t="str">
        <x:v>Mason</x:v>
      </x:c>
      <x:c r="C122" t="str">
        <x:v>Lee</x:v>
      </x:c>
      <x:c r="D122" t="str">
        <x:v>Atlas Commerce</x:v>
      </x:c>
      <x:c r="E122" t="str">
        <x:v>mason.lee132@prospect.co</x:v>
      </x:c>
      <x:c r="F122" t="str">
        <x:v>(943) 772-3999</x:v>
      </x:c>
      <x:c r="G122" t="str">
        <x:v>GA</x:v>
      </x:c>
      <x:c r="H122" t="str">
        <x:v>Referral</x:v>
      </x:c>
      <x:c r="I122" t="str">
        <x:v>new</x:v>
      </x:c>
      <x:c r="J122" t="str">
        <x:v>MORGAN REED</x:v>
      </x:c>
      <x:c r="K122" s="6" t="n">
        <x:v>46078</x:v>
      </x:c>
      <x:c r="L122" s="6" t="n">
        <x:v>46220</x:v>
      </x:c>
      <x:c r="M122" s="6" t="n">
        <x:v>46228</x:v>
      </x:c>
      <x:c r="N122" s="8" t="n">
        <x:v>26700</x:v>
      </x:c>
      <x:c r="O122" t="str">
        <x:v>Biotech</x:v>
      </x:c>
      <x:c r="P122" t="str">
        <x:v>No</x:v>
      </x:c>
      <x:c r="Q122" t="str">
        <x:v>No</x:v>
      </x:c>
      <x:c r="R122" s="6"/>
    </x:row>
    <x:row r="123">
      <x:c r="A123" t="str">
        <x:v>L-0122</x:v>
      </x:c>
      <x:c r="B123" t="str">
        <x:v>Luna</x:v>
      </x:c>
      <x:c r="C123" t="str">
        <x:v>Perez</x:v>
      </x:c>
      <x:c r="D123" t="str">
        <x:v> BrightPath Health </x:v>
      </x:c>
      <x:c r="E123" t="str">
        <x:v>luna.perez892@examplebiz.com</x:v>
      </x:c>
      <x:c r="F123" t="str">
        <x:v>341-405-6614</x:v>
      </x:c>
      <x:c r="G123" t="str">
        <x:v>FL</x:v>
      </x:c>
      <x:c r="H123" t="str">
        <x:v>webinar</x:v>
      </x:c>
      <x:c r="I123" t="str">
        <x:v>closed won</x:v>
      </x:c>
      <x:c r="J123" t="str">
        <x:v>Jordan Lee</x:v>
      </x:c>
      <x:c r="K123" s="6" t="n">
        <x:v>46149</x:v>
      </x:c>
      <x:c r="L123" s="6" t="n">
        <x:v>46216</x:v>
      </x:c>
      <x:c r="M123" s="6"/>
      <x:c r="N123" s="8" t="n">
        <x:v>27100</x:v>
      </x:c>
      <x:c r="O123" t="str">
        <x:v>Logistics</x:v>
      </x:c>
      <x:c r="P123" t="str">
        <x:v>Yes</x:v>
      </x:c>
      <x:c r="Q123" t="str">
        <x:v>Yes</x:v>
      </x:c>
      <x:c r="R123" s="6" t="n">
        <x:v>46217</x:v>
      </x:c>
    </x:row>
    <x:row r="124">
      <x:c r="A124" t="str">
        <x:v>L-0123</x:v>
      </x:c>
      <x:c r="B124" t="str">
        <x:v>Ethan</x:v>
      </x:c>
      <x:c r="C124" t="str">
        <x:v>Perez</x:v>
      </x:c>
      <x:c r="D124" t="str">
        <x:v>CedarWorks</x:v>
      </x:c>
      <x:c r="E124" t="str">
        <x:v>mia.lee601@northmail.com</x:v>
      </x:c>
      <x:c r="F124" t="str">
        <x:v>(747) 404-7112</x:v>
      </x:c>
      <x:c r="G124" t="str">
        <x:v>TX</x:v>
      </x:c>
      <x:c r="H124" t="str">
        <x:v>WEB</x:v>
      </x:c>
      <x:c r="I124" t="str">
        <x:v>qualified</x:v>
      </x:c>
      <x:c r="J124" t="str">
        <x:v>MORGAN REED</x:v>
      </x:c>
      <x:c r="K124" s="6" t="n">
        <x:v>46137</x:v>
      </x:c>
      <x:c r="L124" s="6" t="n">
        <x:v>46188</x:v>
      </x:c>
      <x:c r="M124" s="6" t="n">
        <x:v>46204</x:v>
      </x:c>
      <x:c r="N124" s="8" t="n">
        <x:v>82100</x:v>
      </x:c>
      <x:c r="O124" t="str">
        <x:v>Logistics</x:v>
      </x:c>
      <x:c r="P124" t="str">
        <x:v>Yes</x:v>
      </x:c>
      <x:c r="Q124" t="str">
        <x:v>No</x:v>
      </x:c>
      <x:c r="R124" s="6"/>
    </x:row>
    <x:row r="125">
      <x:c r="A125" t="str">
        <x:v>L-0124</x:v>
      </x:c>
      <x:c r="B125" t="str">
        <x:v> Liam </x:v>
      </x:c>
      <x:c r="C125" t="str">
        <x:v>MARTINEZ</x:v>
      </x:c>
      <x:c r="D125" t="str">
        <x:v>Evergreen Services</x:v>
      </x:c>
      <x:c r="E125" t="str">
        <x:v>liam.martinez924@mailhub.net</x:v>
      </x:c>
      <x:c r="F125" t="str"/>
      <x:c r="G125" t="str">
        <x:v>PA</x:v>
      </x:c>
      <x:c r="H125" t="str">
        <x:v>Webinar</x:v>
      </x:c>
      <x:c r="I125" t="str">
        <x:v>Qual</x:v>
      </x:c>
      <x:c r="J125" t="str">
        <x:v>Casey Patel</x:v>
      </x:c>
      <x:c r="K125" s="6" t="n">
        <x:v>46135</x:v>
      </x:c>
      <x:c r="L125" s="6" t="n">
        <x:v>46248</x:v>
      </x:c>
      <x:c r="M125" s="6" t="n">
        <x:v>46272</x:v>
      </x:c>
      <x:c r="N125" s="8" t="n">
        <x:v>84600</x:v>
      </x:c>
      <x:c r="O125" t="str">
        <x:v>Logistics</x:v>
      </x:c>
      <x:c r="P125" t="str">
        <x:v>Yes</x:v>
      </x:c>
      <x:c r="Q125" t="str">
        <x:v>No</x:v>
      </x:c>
      <x:c r="R125" s="6"/>
    </x:row>
    <x:row r="126">
      <x:c r="A126" t="str">
        <x:v>L-0125</x:v>
      </x:c>
      <x:c r="B126" t="str">
        <x:v>Sophia</x:v>
      </x:c>
      <x:c r="C126" t="str">
        <x:v>Lee</x:v>
      </x:c>
      <x:c r="D126" t="str">
        <x:v>Peakline Systems</x:v>
      </x:c>
      <x:c r="E126" t="str"/>
      <x:c r="F126" t="str">
        <x:v>(686) 918-3508</x:v>
      </x:c>
      <x:c r="G126" t="str">
        <x:v>OH</x:v>
      </x:c>
      <x:c r="H126" t="str">
        <x:v>WEB</x:v>
      </x:c>
      <x:c r="I126" t="str">
        <x:v>Closed Won</x:v>
      </x:c>
      <x:c r="J126" t="str">
        <x:v>Morgan Reed</x:v>
      </x:c>
      <x:c r="K126" s="6" t="n">
        <x:v>46234</x:v>
      </x:c>
      <x:c r="L126" s="6" t="n">
        <x:v>46237</x:v>
      </x:c>
      <x:c r="M126" s="6"/>
      <x:c r="N126" s="8" t="n">
        <x:v>36900</x:v>
      </x:c>
      <x:c r="O126" t="str">
        <x:v>Healthcare</x:v>
      </x:c>
      <x:c r="P126" t="str">
        <x:v>Yes</x:v>
      </x:c>
      <x:c r="Q126" t="str">
        <x:v>Yes</x:v>
      </x:c>
      <x:c r="R126" s="6" t="n">
        <x:v>46239</x:v>
      </x:c>
    </x:row>
    <x:row r="127">
      <x:c r="A127" t="str">
        <x:v>L-0126</x:v>
      </x:c>
      <x:c r="B127" t="str">
        <x:v>Benjamin</x:v>
      </x:c>
      <x:c r="C127" t="str">
        <x:v>Miller</x:v>
      </x:c>
      <x:c r="D127" t="str">
        <x:v>APEX MANUFACTURING</x:v>
      </x:c>
      <x:c r="E127" t="str">
        <x:v>benjamin.miller933@examplebiz.com</x:v>
      </x:c>
      <x:c r="F127" t="str">
        <x:v>(905) 692-6416</x:v>
      </x:c>
      <x:c r="G127" t="str">
        <x:v>GA</x:v>
      </x:c>
      <x:c r="H127" t="str">
        <x:v>outbound</x:v>
      </x:c>
      <x:c r="I127" t="str">
        <x:v>Contact</x:v>
      </x:c>
      <x:c r="J127" t="str"/>
      <x:c r="K127" s="6" t="n">
        <x:v>46142</x:v>
      </x:c>
      <x:c r="L127" s="6" t="n">
        <x:v>46179</x:v>
      </x:c>
      <x:c r="M127" s="6" t="n">
        <x:v>46187</x:v>
      </x:c>
      <x:c r="N127" s="8" t="n">
        <x:v>5800</x:v>
      </x:c>
      <x:c r="O127" t="str">
        <x:v>Financial Services</x:v>
      </x:c>
      <x:c r="P127" t="str">
        <x:v>No</x:v>
      </x:c>
      <x:c r="Q127" t="str">
        <x:v>No</x:v>
      </x:c>
      <x:c r="R127" s="6"/>
    </x:row>
    <x:row r="128">
      <x:c r="A128" t="str">
        <x:v>L-0127</x:v>
      </x:c>
      <x:c r="B128" t="str">
        <x:v>Lucas</x:v>
      </x:c>
      <x:c r="C128" t="str">
        <x:v>rodriguez</x:v>
      </x:c>
      <x:c r="D128" t="str"/>
      <x:c r="E128" t="str">
        <x:v>lucas.rodriguez437@northmail.com</x:v>
      </x:c>
      <x:c r="F128" t="str">
        <x:v>(298) 976-1751</x:v>
      </x:c>
      <x:c r="G128" t="str">
        <x:v>TX</x:v>
      </x:c>
      <x:c r="H128" t="str">
        <x:v>Email</x:v>
      </x:c>
      <x:c r="I128" t="str">
        <x:v>Closed-Won</x:v>
      </x:c>
      <x:c r="J128" t="str">
        <x:v>Casey Patel</x:v>
      </x:c>
      <x:c r="K128" s="6" t="n">
        <x:v>46172</x:v>
      </x:c>
      <x:c r="L128" s="6" t="n">
        <x:v>46218</x:v>
      </x:c>
      <x:c r="M128" s="6"/>
      <x:c r="N128" s="8" t="n">
        <x:v>68600</x:v>
      </x:c>
      <x:c r="O128" t="str">
        <x:v>Healthcare</x:v>
      </x:c>
      <x:c r="P128" t="str">
        <x:v>Yes</x:v>
      </x:c>
      <x:c r="Q128" t="str">
        <x:v>Yes</x:v>
      </x:c>
      <x:c r="R128" s="6" t="n">
        <x:v>46222</x:v>
      </x:c>
    </x:row>
    <x:row r="129">
      <x:c r="A129" t="str">
        <x:v>L-0128</x:v>
      </x:c>
      <x:c r="B129" t="str">
        <x:v>Sophia</x:v>
      </x:c>
      <x:c r="C129" t="str">
        <x:v>Thomas</x:v>
      </x:c>
      <x:c r="D129" t="str">
        <x:v>Atlas Commerce</x:v>
      </x:c>
      <x:c r="E129" t="str">
        <x:v>sophia.thomas495@mailhub.net</x:v>
      </x:c>
      <x:c r="F129" t="str">
        <x:v>386-825-7221</x:v>
      </x:c>
      <x:c r="G129" t="str">
        <x:v>OH</x:v>
      </x:c>
      <x:c r="H129" t="str">
        <x:v>EMAIL</x:v>
      </x:c>
      <x:c r="I129" t="str">
        <x:v>New</x:v>
      </x:c>
      <x:c r="J129" t="str">
        <x:v>Alex Kim</x:v>
      </x:c>
      <x:c r="K129" s="6" t="n">
        <x:v>46213</x:v>
      </x:c>
      <x:c r="L129" s="6" t="n">
        <x:v>46216</x:v>
      </x:c>
      <x:c r="M129" s="6" t="n">
        <x:v>46224</x:v>
      </x:c>
      <x:c r="N129" s="8" t="n">
        <x:v>11100</x:v>
      </x:c>
      <x:c r="O129" t="str">
        <x:v>Professional Services</x:v>
      </x:c>
      <x:c r="P129" t="str">
        <x:v>No</x:v>
      </x:c>
      <x:c r="Q129" t="str">
        <x:v>No</x:v>
      </x:c>
      <x:c r="R129" s="6"/>
    </x:row>
    <x:row r="130">
      <x:c r="A130" t="str">
        <x:v>L-0129</x:v>
      </x:c>
      <x:c r="B130" t="str">
        <x:v>Evelyn</x:v>
      </x:c>
      <x:c r="C130" t="str">
        <x:v>Perez</x:v>
      </x:c>
      <x:c r="D130" t="str"/>
      <x:c r="E130" t="str">
        <x:v>evelyn.perez355@mailhub.net</x:v>
      </x:c>
      <x:c r="F130" t="str">
        <x:v>(353) 771-1894</x:v>
      </x:c>
      <x:c r="G130" t="str">
        <x:v>GA</x:v>
      </x:c>
      <x:c r="H130" t="str">
        <x:v>WEBINAR</x:v>
      </x:c>
      <x:c r="I130" t="str">
        <x:v>Opportunity</x:v>
      </x:c>
      <x:c r="J130" t="str">
        <x:v>Morgan Reed</x:v>
      </x:c>
      <x:c r="K130" s="6" t="n">
        <x:v>46222</x:v>
      </x:c>
      <x:c r="L130" s="6" t="n">
        <x:v>46235</x:v>
      </x:c>
      <x:c r="M130" s="6" t="n">
        <x:v>46259</x:v>
      </x:c>
      <x:c r="N130" s="8" t="n">
        <x:v>62400</x:v>
      </x:c>
      <x:c r="O130" t="str">
        <x:v>Biotech</x:v>
      </x:c>
      <x:c r="P130" t="str">
        <x:v>Yes</x:v>
      </x:c>
      <x:c r="Q130" t="str">
        <x:v>No</x:v>
      </x:c>
      <x:c r="R130" s="6"/>
    </x:row>
    <x:row r="131">
      <x:c r="A131" t="str">
        <x:v>L-0130</x:v>
      </x:c>
      <x:c r="B131" t="str">
        <x:v>Amelia</x:v>
      </x:c>
      <x:c r="C131" t="str">
        <x:v>Thomas</x:v>
      </x:c>
      <x:c r="D131" t="str"/>
      <x:c r="E131" t="str">
        <x:v>amelia.thomas510@northmail.com</x:v>
      </x:c>
      <x:c r="F131" t="str">
        <x:v>(306) 613-7755</x:v>
      </x:c>
      <x:c r="G131" t="str">
        <x:v>NC</x:v>
      </x:c>
      <x:c r="H131" t="str">
        <x:v>webinar</x:v>
      </x:c>
      <x:c r="I131" t="str">
        <x:v>QUALIFIED</x:v>
      </x:c>
      <x:c r="J131" t="str">
        <x:v>Jordan Lee</x:v>
      </x:c>
      <x:c r="K131" s="6" t="n">
        <x:v>46224</x:v>
      </x:c>
      <x:c r="L131" s="6" t="n">
        <x:v>46251</x:v>
      </x:c>
      <x:c r="M131" s="6" t="n">
        <x:v>46269</x:v>
      </x:c>
      <x:c r="N131" s="8" t="n">
        <x:v>39400</x:v>
      </x:c>
      <x:c r="O131" t="str">
        <x:v>Technology</x:v>
      </x:c>
      <x:c r="P131" t="str">
        <x:v>Yes</x:v>
      </x:c>
      <x:c r="Q131" t="str">
        <x:v>No</x:v>
      </x:c>
      <x:c r="R131" s="6"/>
    </x:row>
    <x:row r="132">
      <x:c r="A132" t="str">
        <x:v>L-0131</x:v>
      </x:c>
      <x:c r="B132" t="str">
        <x:v>mason</x:v>
      </x:c>
      <x:c r="C132" t="str">
        <x:v>Moore</x:v>
      </x:c>
      <x:c r="D132" t="str">
        <x:v> Redstone Consulting </x:v>
      </x:c>
      <x:c r="E132" t="str">
        <x:v>mason.moore364@prospect.co</x:v>
      </x:c>
      <x:c r="F132" t="str">
        <x:v>(761) 734-7125</x:v>
      </x:c>
      <x:c r="G132" t="str">
        <x:v>PA</x:v>
      </x:c>
      <x:c r="H132" t="str">
        <x:v>Linked In</x:v>
      </x:c>
      <x:c r="I132" t="str">
        <x:v>Opportunity</x:v>
      </x:c>
      <x:c r="J132" t="str"/>
      <x:c r="K132" s="6" t="n">
        <x:v>46217</x:v>
      </x:c>
      <x:c r="L132" s="6" t="n">
        <x:v>46223</x:v>
      </x:c>
      <x:c r="M132" s="6" t="n">
        <x:v>46247</x:v>
      </x:c>
      <x:c r="N132" s="8" t="n">
        <x:v>20800</x:v>
      </x:c>
      <x:c r="O132" t="str">
        <x:v>Logistics</x:v>
      </x:c>
      <x:c r="P132" t="str">
        <x:v>Yes</x:v>
      </x:c>
      <x:c r="Q132" t="str">
        <x:v>No</x:v>
      </x:c>
      <x:c r="R132" s="6"/>
    </x:row>
    <x:row r="133">
      <x:c r="A133" t="str">
        <x:v>L-0132</x:v>
      </x:c>
      <x:c r="B133" t="str">
        <x:v>Isabella</x:v>
      </x:c>
      <x:c r="C133" t="str">
        <x:v> Brown </x:v>
      </x:c>
      <x:c r="D133" t="str">
        <x:v>Vertex Solutions</x:v>
      </x:c>
      <x:c r="E133" t="str">
        <x:v> isabella.brown138@mailhub.net </x:v>
      </x:c>
      <x:c r="F133" t="str">
        <x:v>(205) 743-1795</x:v>
      </x:c>
      <x:c r="G133" t="str">
        <x:v>OH</x:v>
      </x:c>
      <x:c r="H133" t="str">
        <x:v>EMAIL</x:v>
      </x:c>
      <x:c r="I133" t="str">
        <x:v>Qual</x:v>
      </x:c>
      <x:c r="J133" t="str">
        <x:v>Alex Kim</x:v>
      </x:c>
      <x:c r="K133" s="6" t="n">
        <x:v>46049</x:v>
      </x:c>
      <x:c r="L133" s="6" t="n">
        <x:v>46164</x:v>
      </x:c>
      <x:c r="M133" s="6" t="n">
        <x:v>46181</x:v>
      </x:c>
      <x:c r="N133" s="8" t="n">
        <x:v>56800</x:v>
      </x:c>
      <x:c r="O133" t="str">
        <x:v>Healthcare</x:v>
      </x:c>
      <x:c r="P133" t="str">
        <x:v>Yes</x:v>
      </x:c>
      <x:c r="Q133" t="str">
        <x:v>No</x:v>
      </x:c>
      <x:c r="R133" s="6"/>
    </x:row>
    <x:row r="134">
      <x:c r="A134" t="str">
        <x:v>L-0133</x:v>
      </x:c>
      <x:c r="B134" t="str">
        <x:v>Henry</x:v>
      </x:c>
      <x:c r="C134" t="str">
        <x:v>Davis</x:v>
      </x:c>
      <x:c r="D134" t="str">
        <x:v>Horizon Bio</x:v>
      </x:c>
      <x:c r="E134" t="str">
        <x:v>henry.davis525@prospect.co</x:v>
      </x:c>
      <x:c r="F134" t="str">
        <x:v>(919) 760-6143</x:v>
      </x:c>
      <x:c r="G134" t="str">
        <x:v>IL</x:v>
      </x:c>
      <x:c r="H134" t="str">
        <x:v>OUTBOUND</x:v>
      </x:c>
      <x:c r="I134" t="str">
        <x:v>Qualified</x:v>
      </x:c>
      <x:c r="J134" t="str">
        <x:v>Jamie Brooks</x:v>
      </x:c>
      <x:c r="K134" s="6" t="n">
        <x:v>46212</x:v>
      </x:c>
      <x:c r="L134" s="6" t="n">
        <x:v>46220</x:v>
      </x:c>
      <x:c r="M134" s="6" t="n">
        <x:v>46236</x:v>
      </x:c>
      <x:c r="N134" s="8" t="n">
        <x:v>52200</x:v>
      </x:c>
      <x:c r="O134" t="str">
        <x:v>Professional Services</x:v>
      </x:c>
      <x:c r="P134" t="str">
        <x:v>Yes</x:v>
      </x:c>
      <x:c r="Q134" t="str">
        <x:v>No</x:v>
      </x:c>
      <x:c r="R134" s="6"/>
    </x:row>
    <x:row r="135">
      <x:c r="A135" t="str">
        <x:v>L-0134</x:v>
      </x:c>
      <x:c r="B135" t="str">
        <x:v>Elijah</x:v>
      </x:c>
      <x:c r="C135" t="str">
        <x:v>Jackson</x:v>
      </x:c>
      <x:c r="D135" t="str">
        <x:v>Vertex Solutions</x:v>
      </x:c>
      <x:c r="E135" t="str">
        <x:v>elijah.jackson205@prospect.co</x:v>
      </x:c>
      <x:c r="F135" t="str">
        <x:v>(969) 364-5695</x:v>
      </x:c>
      <x:c r="G135" t="str">
        <x:v>AZ</x:v>
      </x:c>
      <x:c r="H135" t="str">
        <x:v>email campaign</x:v>
      </x:c>
      <x:c r="I135" t="str">
        <x:v>Qual</x:v>
      </x:c>
      <x:c r="J135" t="str">
        <x:v>Jordan Lee</x:v>
      </x:c>
      <x:c r="K135" s="6" t="n">
        <x:v>46240</x:v>
      </x:c>
      <x:c r="L135" s="6" t="n">
        <x:v>46246</x:v>
      </x:c>
      <x:c r="M135" s="6" t="n">
        <x:v>46253</x:v>
      </x:c>
      <x:c r="N135" s="8" t="n">
        <x:v>6900</x:v>
      </x:c>
      <x:c r="O135" t="str">
        <x:v>Financial Services</x:v>
      </x:c>
      <x:c r="P135" t="str">
        <x:v>Yes</x:v>
      </x:c>
      <x:c r="Q135" t="str">
        <x:v>No</x:v>
      </x:c>
      <x:c r="R135" s="6"/>
    </x:row>
    <x:row r="136">
      <x:c r="A136" t="str">
        <x:v>L-0135</x:v>
      </x:c>
      <x:c r="B136" t="str">
        <x:v>Lucas</x:v>
      </x:c>
      <x:c r="C136" t="str">
        <x:v>Johnson</x:v>
      </x:c>
      <x:c r="D136" t="str">
        <x:v>Silverline Foods</x:v>
      </x:c>
      <x:c r="E136" t="str">
        <x:v>lucas.johnson258@examplebiz.com</x:v>
      </x:c>
      <x:c r="F136" t="str">
        <x:v>(836) 999-8259</x:v>
      </x:c>
      <x:c r="G136" t="str">
        <x:v>AZ</x:v>
      </x:c>
      <x:c r="H136" t="str">
        <x:v>outbound</x:v>
      </x:c>
      <x:c r="I136" t="str">
        <x:v>closed lost</x:v>
      </x:c>
      <x:c r="J136" t="str">
        <x:v>Jamie Brooks</x:v>
      </x:c>
      <x:c r="K136" s="6" t="n">
        <x:v>46166</x:v>
      </x:c>
      <x:c r="L136" s="6" t="n">
        <x:v>46236</x:v>
      </x:c>
      <x:c r="M136" s="6"/>
      <x:c r="N136" s="8" t="n">
        <x:v>6900</x:v>
      </x:c>
      <x:c r="O136" t="str">
        <x:v>Professional Services</x:v>
      </x:c>
      <x:c r="P136" t="str">
        <x:v>Yes</x:v>
      </x:c>
      <x:c r="Q136" t="str">
        <x:v>No</x:v>
      </x:c>
      <x:c r="R136" s="6" t="n">
        <x:v>46239</x:v>
      </x:c>
    </x:row>
    <x:row r="137">
      <x:c r="A137" t="str">
        <x:v>L-0136</x:v>
      </x:c>
      <x:c r="B137" t="str">
        <x:v>Noah</x:v>
      </x:c>
      <x:c r="C137" t="str">
        <x:v>THOMAS</x:v>
      </x:c>
      <x:c r="D137" t="str">
        <x:v>Peakline Systems</x:v>
      </x:c>
      <x:c r="E137" t="str">
        <x:v>noah.thomas960@examplebiz.com</x:v>
      </x:c>
      <x:c r="F137" t="str">
        <x:v>(241) 357-6285</x:v>
      </x:c>
      <x:c r="G137" t="str">
        <x:v>NY</x:v>
      </x:c>
      <x:c r="H137" t="str">
        <x:v>Trade Show</x:v>
      </x:c>
      <x:c r="I137" t="str">
        <x:v>NEW</x:v>
      </x:c>
      <x:c r="J137" t="str">
        <x:v>jamie brooks</x:v>
      </x:c>
      <x:c r="K137" s="6" t="n">
        <x:v>46097</x:v>
      </x:c>
      <x:c r="L137" s="6" t="n">
        <x:v>46162</x:v>
      </x:c>
      <x:c r="M137" s="6" t="n">
        <x:v>46165</x:v>
      </x:c>
      <x:c r="N137" s="8" t="n">
        <x:v>29800</x:v>
      </x:c>
      <x:c r="O137" t="str">
        <x:v>Professional Services</x:v>
      </x:c>
      <x:c r="P137" t="str">
        <x:v>No</x:v>
      </x:c>
      <x:c r="Q137" t="str">
        <x:v>No</x:v>
      </x:c>
      <x:c r="R137" s="6"/>
    </x:row>
    <x:row r="138">
      <x:c r="A138" t="str">
        <x:v>L-0137</x:v>
      </x:c>
      <x:c r="B138" t="str">
        <x:v>ELIJAH</x:v>
      </x:c>
      <x:c r="C138" t="str">
        <x:v>Lee</x:v>
      </x:c>
      <x:c r="D138" t="str">
        <x:v>Silverline Foods</x:v>
      </x:c>
      <x:c r="E138" t="str">
        <x:v>elijah.lee544@mailhub.net</x:v>
      </x:c>
      <x:c r="F138" t="str">
        <x:v>(775) 970-1144</x:v>
      </x:c>
      <x:c r="G138" t="str">
        <x:v>IL</x:v>
      </x:c>
      <x:c r="H138" t="str">
        <x:v>WEB</x:v>
      </x:c>
      <x:c r="I138" t="str">
        <x:v>CONTACTED</x:v>
      </x:c>
      <x:c r="J138" t="str">
        <x:v>ALEX KIM</x:v>
      </x:c>
      <x:c r="K138" s="6" t="n">
        <x:v>46162</x:v>
      </x:c>
      <x:c r="L138" s="6" t="n">
        <x:v>46204</x:v>
      </x:c>
      <x:c r="M138" s="6" t="n">
        <x:v>46218</x:v>
      </x:c>
      <x:c r="N138" s="8" t="n">
        <x:v>26700</x:v>
      </x:c>
      <x:c r="O138" t="str">
        <x:v>Technology</x:v>
      </x:c>
      <x:c r="P138" t="str">
        <x:v>No</x:v>
      </x:c>
      <x:c r="Q138" t="str">
        <x:v>No</x:v>
      </x:c>
      <x:c r="R138" s="6"/>
    </x:row>
    <x:row r="139">
      <x:c r="A139" t="str">
        <x:v>L-0138</x:v>
      </x:c>
      <x:c r="B139" t="str">
        <x:v>Evelyn</x:v>
      </x:c>
      <x:c r="C139" t="str">
        <x:v>Anderson</x:v>
      </x:c>
      <x:c r="D139" t="str">
        <x:v>Prairie Health</x:v>
      </x:c>
      <x:c r="E139" t="str">
        <x:v>evelyn.anderson995@northmail.com</x:v>
      </x:c>
      <x:c r="F139" t="str">
        <x:v>(842) 267-4453</x:v>
      </x:c>
      <x:c r="G139" t="str">
        <x:v>CO</x:v>
      </x:c>
      <x:c r="H139" t="str">
        <x:v>referral</x:v>
      </x:c>
      <x:c r="I139" t="str">
        <x:v>Opportunity</x:v>
      </x:c>
      <x:c r="J139" t="str">
        <x:v>Taylor Morgan</x:v>
      </x:c>
      <x:c r="K139" s="6" t="n">
        <x:v>46164</x:v>
      </x:c>
      <x:c r="L139" s="6" t="n">
        <x:v>46229</x:v>
      </x:c>
      <x:c r="M139" s="6" t="n">
        <x:v>46234</x:v>
      </x:c>
      <x:c r="N139" s="8" t="n">
        <x:v>80700</x:v>
      </x:c>
      <x:c r="O139" t="str">
        <x:v>Logistics</x:v>
      </x:c>
      <x:c r="P139" t="str">
        <x:v>Yes</x:v>
      </x:c>
      <x:c r="Q139" t="str">
        <x:v>No</x:v>
      </x:c>
      <x:c r="R139" s="6"/>
    </x:row>
    <x:row r="140">
      <x:c r="A140" t="str">
        <x:v>L-0139</x:v>
      </x:c>
      <x:c r="B140" t="str">
        <x:v>Isabella</x:v>
      </x:c>
      <x:c r="C140" t="str">
        <x:v>JOHNSON</x:v>
      </x:c>
      <x:c r="D140" t="str">
        <x:v>BrightPath Health</x:v>
      </x:c>
      <x:c r="E140" t="str">
        <x:v>isabella.johnson398@mailhub.net</x:v>
      </x:c>
      <x:c r="F140" t="str"/>
      <x:c r="G140" t="str">
        <x:v>CO</x:v>
      </x:c>
      <x:c r="H140" t="str">
        <x:v>WEB</x:v>
      </x:c>
      <x:c r="I140" t="str">
        <x:v>CONTACTED</x:v>
      </x:c>
      <x:c r="J140" t="str">
        <x:v>Morgan Reed</x:v>
      </x:c>
      <x:c r="K140" s="6" t="n">
        <x:v>46228</x:v>
      </x:c>
      <x:c r="L140" s="6" t="n">
        <x:v>46246</x:v>
      </x:c>
      <x:c r="M140" s="6" t="n">
        <x:v>46256</x:v>
      </x:c>
      <x:c r="N140" s="8" t="n">
        <x:v>77700</x:v>
      </x:c>
      <x:c r="O140" t="str">
        <x:v>Technology</x:v>
      </x:c>
      <x:c r="P140" t="str">
        <x:v>No</x:v>
      </x:c>
      <x:c r="Q140" t="str">
        <x:v>No</x:v>
      </x:c>
      <x:c r="R140" s="6"/>
    </x:row>
    <x:row r="141">
      <x:c r="A141" t="str">
        <x:v>L-0140</x:v>
      </x:c>
      <x:c r="B141" t="str">
        <x:v>Lucas</x:v>
      </x:c>
      <x:c r="C141" t="str">
        <x:v>Moore</x:v>
      </x:c>
      <x:c r="D141" t="str">
        <x:v>silverline foods</x:v>
      </x:c>
      <x:c r="E141" t="str">
        <x:v>lucas.moore303@examplebiz.com</x:v>
      </x:c>
      <x:c r="F141" t="str">
        <x:v>(506) 893-7113</x:v>
      </x:c>
      <x:c r="G141" t="str">
        <x:v>OH</x:v>
      </x:c>
      <x:c r="H141" t="str">
        <x:v>WEB</x:v>
      </x:c>
      <x:c r="I141" t="str">
        <x:v>New</x:v>
      </x:c>
      <x:c r="J141" t="str"/>
      <x:c r="K141" s="6" t="n">
        <x:v>46190</x:v>
      </x:c>
      <x:c r="L141" s="6" t="n">
        <x:v>46198</x:v>
      </x:c>
      <x:c r="M141" s="6" t="n">
        <x:v>46213</x:v>
      </x:c>
      <x:c r="N141" s="8" t="n">
        <x:v>68200</x:v>
      </x:c>
      <x:c r="O141" t="str">
        <x:v>Professional Services</x:v>
      </x:c>
      <x:c r="P141" t="str">
        <x:v>No</x:v>
      </x:c>
      <x:c r="Q141" t="str">
        <x:v>No</x:v>
      </x:c>
      <x:c r="R141" s="6"/>
    </x:row>
    <x:row r="142">
      <x:c r="A142" t="str">
        <x:v>L-0141</x:v>
      </x:c>
      <x:c r="B142" t="str">
        <x:v>James</x:v>
      </x:c>
      <x:c r="C142" t="str">
        <x:v>Martin</x:v>
      </x:c>
      <x:c r="D142" t="str">
        <x:v>Blue Ridge Supply</x:v>
      </x:c>
      <x:c r="E142" t="str">
        <x:v>james.martin873@northmail.com</x:v>
      </x:c>
      <x:c r="F142" t="str">
        <x:v>970-762-8557</x:v>
      </x:c>
      <x:c r="G142" t="str">
        <x:v>CA</x:v>
      </x:c>
      <x:c r="H142" t="str">
        <x:v>website</x:v>
      </x:c>
      <x:c r="I142" t="str">
        <x:v>WON</x:v>
      </x:c>
      <x:c r="J142" t="str">
        <x:v>Alex Kim</x:v>
      </x:c>
      <x:c r="K142" s="6" t="n">
        <x:v>46197</x:v>
      </x:c>
      <x:c r="L142" s="6" t="n">
        <x:v>46204</x:v>
      </x:c>
      <x:c r="M142" s="6"/>
      <x:c r="N142" s="8" t="n">
        <x:v>17500</x:v>
      </x:c>
      <x:c r="O142" t="str">
        <x:v>Manufacturing</x:v>
      </x:c>
      <x:c r="P142" t="str">
        <x:v>Yes</x:v>
      </x:c>
      <x:c r="Q142" t="str">
        <x:v>Yes</x:v>
      </x:c>
      <x:c r="R142" s="6" t="n">
        <x:v>46209</x:v>
      </x:c>
    </x:row>
    <x:row r="143">
      <x:c r="A143" t="str">
        <x:v>L-0142</x:v>
      </x:c>
      <x:c r="B143" t="str">
        <x:v>Isabella</x:v>
      </x:c>
      <x:c r="C143" t="str">
        <x:v>thompson</x:v>
      </x:c>
      <x:c r="D143" t="str">
        <x:v>Evergreen Services</x:v>
      </x:c>
      <x:c r="E143" t="str">
        <x:v> isabella.thompson805@examplebiz.com </x:v>
      </x:c>
      <x:c r="F143" t="str">
        <x:v>(930) 957-8145</x:v>
      </x:c>
      <x:c r="G143" t="str">
        <x:v>WA</x:v>
      </x:c>
      <x:c r="H143" t="str">
        <x:v>Tradeshow</x:v>
      </x:c>
      <x:c r="I143" t="str">
        <x:v>closed won</x:v>
      </x:c>
      <x:c r="J143" t="str">
        <x:v>Taylor Morgan</x:v>
      </x:c>
      <x:c r="K143" s="6" t="n">
        <x:v>46137</x:v>
      </x:c>
      <x:c r="L143" s="6" t="n">
        <x:v>46158</x:v>
      </x:c>
      <x:c r="M143" s="6"/>
      <x:c r="N143" s="8" t="n">
        <x:v>2900</x:v>
      </x:c>
      <x:c r="O143" t="str">
        <x:v>Manufacturing</x:v>
      </x:c>
      <x:c r="P143" t="str">
        <x:v>Yes</x:v>
      </x:c>
      <x:c r="Q143" t="str">
        <x:v>Yes</x:v>
      </x:c>
      <x:c r="R143" s="6" t="n">
        <x:v>46162</x:v>
      </x:c>
    </x:row>
    <x:row r="144">
      <x:c r="A144" t="str">
        <x:v>L-0143</x:v>
      </x:c>
      <x:c r="B144" t="str">
        <x:v>mia</x:v>
      </x:c>
      <x:c r="C144" t="str">
        <x:v>Williams</x:v>
      </x:c>
      <x:c r="D144" t="str">
        <x:v>NORTHSTAR LABS</x:v>
      </x:c>
      <x:c r="E144" t="str">
        <x:v>mia.williams557@mailhub.net</x:v>
      </x:c>
      <x:c r="F144" t="str">
        <x:v>(870) 993-3435</x:v>
      </x:c>
      <x:c r="G144" t="str">
        <x:v>WA</x:v>
      </x:c>
      <x:c r="H144" t="str">
        <x:v>Tradeshow</x:v>
      </x:c>
      <x:c r="I144" t="str">
        <x:v>closed won</x:v>
      </x:c>
      <x:c r="J144" t="str">
        <x:v>Casey Patel</x:v>
      </x:c>
      <x:c r="K144" s="6" t="n">
        <x:v>46192</x:v>
      </x:c>
      <x:c r="L144" s="6" t="n">
        <x:v>46250</x:v>
      </x:c>
      <x:c r="M144" s="6"/>
      <x:c r="N144" s="8" t="n">
        <x:v>5500</x:v>
      </x:c>
      <x:c r="O144" t="str">
        <x:v>Healthcare</x:v>
      </x:c>
      <x:c r="P144" t="str">
        <x:v>Yes</x:v>
      </x:c>
      <x:c r="Q144" t="str">
        <x:v>Yes</x:v>
      </x:c>
      <x:c r="R144" s="6" t="n">
        <x:v>46251</x:v>
      </x:c>
    </x:row>
    <x:row r="145">
      <x:c r="A145" t="str">
        <x:v>L-0144</x:v>
      </x:c>
      <x:c r="B145" t="str">
        <x:v>Ethan</x:v>
      </x:c>
      <x:c r="C145" t="str">
        <x:v>Perez</x:v>
      </x:c>
      <x:c r="D145" t="str">
        <x:v>Blue Ridge Supply</x:v>
      </x:c>
      <x:c r="E145" t="str">
        <x:v>ethan.perez44@examplebiz.com</x:v>
      </x:c>
      <x:c r="F145" t="str">
        <x:v>(731) 569-7358</x:v>
      </x:c>
      <x:c r="G145" t="str">
        <x:v>IL</x:v>
      </x:c>
      <x:c r="H145" t="str">
        <x:v> Website </x:v>
      </x:c>
      <x:c r="I145" t="str">
        <x:v>Closed-Won</x:v>
      </x:c>
      <x:c r="J145" t="str">
        <x:v>Taylor Morgan</x:v>
      </x:c>
      <x:c r="K145" s="6" t="n">
        <x:v>46187</x:v>
      </x:c>
      <x:c r="L145" s="6" t="n">
        <x:v>46195</x:v>
      </x:c>
      <x:c r="M145" s="6"/>
      <x:c r="N145" s="8" t="n">
        <x:v>24300</x:v>
      </x:c>
      <x:c r="O145" t="str">
        <x:v>Logistics</x:v>
      </x:c>
      <x:c r="P145" t="str">
        <x:v>Yes</x:v>
      </x:c>
      <x:c r="Q145" t="str">
        <x:v>Yes</x:v>
      </x:c>
      <x:c r="R145" s="6" t="n">
        <x:v>46203</x:v>
      </x:c>
    </x:row>
    <x:row r="146">
      <x:c r="A146" t="str">
        <x:v>L-0145</x:v>
      </x:c>
      <x:c r="B146" t="str">
        <x:v>mia</x:v>
      </x:c>
      <x:c r="C146" t="str">
        <x:v>Martin</x:v>
      </x:c>
      <x:c r="D146" t="str">
        <x:v>Horizon Bio</x:v>
      </x:c>
      <x:c r="E146" t="str">
        <x:v>mia.martin514@examplebiz.com</x:v>
      </x:c>
      <x:c r="F146" t="str">
        <x:v>(651) 369-4768</x:v>
      </x:c>
      <x:c r="G146" t="str">
        <x:v>FL</x:v>
      </x:c>
      <x:c r="H146" t="str">
        <x:v>webinar</x:v>
      </x:c>
      <x:c r="I146" t="str">
        <x:v>Contact</x:v>
      </x:c>
      <x:c r="J146" t="str">
        <x:v> Jordan Lee </x:v>
      </x:c>
      <x:c r="K146" s="6" t="n">
        <x:v>46158</x:v>
      </x:c>
      <x:c r="L146" s="6" t="n">
        <x:v>46220</x:v>
      </x:c>
      <x:c r="M146" s="6" t="n">
        <x:v>46238</x:v>
      </x:c>
      <x:c r="N146" s="8" t="n">
        <x:v>75700</x:v>
      </x:c>
      <x:c r="O146" t="str">
        <x:v>Professional Services</x:v>
      </x:c>
      <x:c r="P146" t="str">
        <x:v>No</x:v>
      </x:c>
      <x:c r="Q146" t="str">
        <x:v>No</x:v>
      </x:c>
      <x:c r="R146" s="6"/>
    </x:row>
    <x:row r="147">
      <x:c r="A147" t="str">
        <x:v>L-0146</x:v>
      </x:c>
      <x:c r="B147" t="str">
        <x:v>Ethan</x:v>
      </x:c>
      <x:c r="C147" t="str">
        <x:v>taylor</x:v>
      </x:c>
      <x:c r="D147" t="str">
        <x:v>Northstar Labs</x:v>
      </x:c>
      <x:c r="E147" t="str">
        <x:v>ethan.taylor58@examplebiz.com</x:v>
      </x:c>
      <x:c r="F147" t="str"/>
      <x:c r="G147" t="str">
        <x:v>CO</x:v>
      </x:c>
      <x:c r="H147" t="str">
        <x:v>website</x:v>
      </x:c>
      <x:c r="I147" t="str">
        <x:v>qualified</x:v>
      </x:c>
      <x:c r="J147" t="str">
        <x:v>Taylor Morgan</x:v>
      </x:c>
      <x:c r="K147" s="6" t="n">
        <x:v>46212</x:v>
      </x:c>
      <x:c r="L147" s="6" t="n">
        <x:v>46244</x:v>
      </x:c>
      <x:c r="M147" s="6" t="n">
        <x:v>46248</x:v>
      </x:c>
      <x:c r="N147" s="8" t="n">
        <x:v>76000</x:v>
      </x:c>
      <x:c r="O147" t="str">
        <x:v>Retail</x:v>
      </x:c>
      <x:c r="P147" t="str">
        <x:v>Yes</x:v>
      </x:c>
      <x:c r="Q147" t="str">
        <x:v>No</x:v>
      </x:c>
      <x:c r="R147" s="6"/>
    </x:row>
    <x:row r="148">
      <x:c r="A148" t="str">
        <x:v>L-0147</x:v>
      </x:c>
      <x:c r="B148" t="str">
        <x:v>Henry</x:v>
      </x:c>
      <x:c r="C148" t="str">
        <x:v>Jones</x:v>
      </x:c>
      <x:c r="D148" t="str">
        <x:v>CedarWorks</x:v>
      </x:c>
      <x:c r="E148" t="str">
        <x:v>henry.jones395@examplebiz.com</x:v>
      </x:c>
      <x:c r="F148" t="str">
        <x:v>(312) 216-4315</x:v>
      </x:c>
      <x:c r="G148" t="str">
        <x:v>CA</x:v>
      </x:c>
      <x:c r="H148" t="str">
        <x:v>LinkedIn</x:v>
      </x:c>
      <x:c r="I148" t="str">
        <x:v>Contact</x:v>
      </x:c>
      <x:c r="J148" t="str">
        <x:v>Morgan Reed</x:v>
      </x:c>
      <x:c r="K148" s="6" t="n">
        <x:v>46130</x:v>
      </x:c>
      <x:c r="L148" s="6" t="n">
        <x:v>46206</x:v>
      </x:c>
      <x:c r="M148" s="6" t="n">
        <x:v>46227</x:v>
      </x:c>
      <x:c r="N148" s="8" t="n">
        <x:v>8200</x:v>
      </x:c>
      <x:c r="O148" t="str">
        <x:v>Financial Services</x:v>
      </x:c>
      <x:c r="P148" t="str">
        <x:v>No</x:v>
      </x:c>
      <x:c r="Q148" t="str">
        <x:v>No</x:v>
      </x:c>
      <x:c r="R148" s="6"/>
    </x:row>
    <x:row r="149">
      <x:c r="A149" t="str">
        <x:v>L-0148</x:v>
      </x:c>
      <x:c r="B149" t="str">
        <x:v>Henry</x:v>
      </x:c>
      <x:c r="C149" t="str">
        <x:v> Lee </x:v>
      </x:c>
      <x:c r="D149" t="str">
        <x:v>Northstar Labs</x:v>
      </x:c>
      <x:c r="E149" t="str">
        <x:v>henry.lee809@mailhub.net</x:v>
      </x:c>
      <x:c r="F149" t="str">
        <x:v>(559) 803-2600</x:v>
      </x:c>
      <x:c r="G149" t="str">
        <x:v>GA</x:v>
      </x:c>
      <x:c r="H149" t="str">
        <x:v>Webinar</x:v>
      </x:c>
      <x:c r="I149" t="str">
        <x:v>Closed Won</x:v>
      </x:c>
      <x:c r="J149" t="str">
        <x:v>Morgan Reed</x:v>
      </x:c>
      <x:c r="K149" s="6" t="n">
        <x:v>46068</x:v>
      </x:c>
      <x:c r="L149" s="6" t="n">
        <x:v>46203</x:v>
      </x:c>
      <x:c r="M149" s="6"/>
      <x:c r="N149" s="8" t="n">
        <x:v>37900</x:v>
      </x:c>
      <x:c r="O149" t="str">
        <x:v>Professional Services</x:v>
      </x:c>
      <x:c r="P149" t="str">
        <x:v>Yes</x:v>
      </x:c>
      <x:c r="Q149" t="str">
        <x:v>Yes</x:v>
      </x:c>
      <x:c r="R149" s="6" t="n">
        <x:v>46211</x:v>
      </x:c>
    </x:row>
    <x:row r="150">
      <x:c r="A150" t="str">
        <x:v>L-0149</x:v>
      </x:c>
      <x:c r="B150" t="str">
        <x:v>Olivia</x:v>
      </x:c>
      <x:c r="C150" t="str">
        <x:v>Wilson</x:v>
      </x:c>
      <x:c r="D150" t="str">
        <x:v>Vertex Solutions</x:v>
      </x:c>
      <x:c r="E150" t="str">
        <x:v>olivia.wilson627@prospect.co</x:v>
      </x:c>
      <x:c r="F150" t="str">
        <x:v>(897) 606-4337</x:v>
      </x:c>
      <x:c r="G150" t="str">
        <x:v>TX</x:v>
      </x:c>
      <x:c r="H150" t="str">
        <x:v>Website</x:v>
      </x:c>
      <x:c r="I150" t="str">
        <x:v>OPP</x:v>
      </x:c>
      <x:c r="J150" t="str">
        <x:v>Casey Patel</x:v>
      </x:c>
      <x:c r="K150" s="6" t="n">
        <x:v>46182</x:v>
      </x:c>
      <x:c r="L150" s="6" t="n">
        <x:v>46215</x:v>
      </x:c>
      <x:c r="M150" s="6" t="n">
        <x:v>46235</x:v>
      </x:c>
      <x:c r="N150" s="8" t="n">
        <x:v>37400</x:v>
      </x:c>
      <x:c r="O150" t="str">
        <x:v>Biotech</x:v>
      </x:c>
      <x:c r="P150" t="str">
        <x:v>Yes</x:v>
      </x:c>
      <x:c r="Q150" t="str">
        <x:v>No</x:v>
      </x:c>
      <x:c r="R150" s="6"/>
    </x:row>
    <x:row r="151">
      <x:c r="A151" t="str">
        <x:v>L-0150</x:v>
      </x:c>
      <x:c r="B151" t="str">
        <x:v>Ethan</x:v>
      </x:c>
      <x:c r="C151" t="str">
        <x:v>Brown</x:v>
      </x:c>
      <x:c r="D151" t="str">
        <x:v>Apex Manufacturing</x:v>
      </x:c>
      <x:c r="E151" t="str">
        <x:v>ethan.brown6@northmail.com</x:v>
      </x:c>
      <x:c r="F151" t="str">
        <x:v>349-682-8133</x:v>
      </x:c>
      <x:c r="G151" t="str">
        <x:v>IL</x:v>
      </x:c>
      <x:c r="H151" t="str">
        <x:v>email campaign</x:v>
      </x:c>
      <x:c r="I151" t="str">
        <x:v>OPP</x:v>
      </x:c>
      <x:c r="J151" t="str">
        <x:v>Jamie Brooks</x:v>
      </x:c>
      <x:c r="K151" s="6" t="n">
        <x:v>46071</x:v>
      </x:c>
      <x:c r="L151" s="6" t="n">
        <x:v>46251</x:v>
      </x:c>
      <x:c r="M151" s="6" t="n">
        <x:v>46255</x:v>
      </x:c>
      <x:c r="N151" s="8" t="n">
        <x:v>15800</x:v>
      </x:c>
      <x:c r="O151" t="str">
        <x:v>Professional Services</x:v>
      </x:c>
      <x:c r="P151" t="str">
        <x:v>Yes</x:v>
      </x:c>
      <x:c r="Q151" t="str">
        <x:v>No</x:v>
      </x:c>
      <x:c r="R151" s="6"/>
    </x:row>
    <x:row r="152">
      <x:c r="A152" t="str">
        <x:v>L-0151</x:v>
      </x:c>
      <x:c r="B152" t="str">
        <x:v>AVA</x:v>
      </x:c>
      <x:c r="C152" t="str">
        <x:v>Miller</x:v>
      </x:c>
      <x:c r="D152" t="str">
        <x:v>Evergreen Services</x:v>
      </x:c>
      <x:c r="E152" t="str">
        <x:v>ava.miller369@examplebiz.com</x:v>
      </x:c>
      <x:c r="F152" t="str">
        <x:v>(871) 200-3579</x:v>
      </x:c>
      <x:c r="G152" t="str">
        <x:v>CO</x:v>
      </x:c>
      <x:c r="H152" t="str">
        <x:v>EMAIL</x:v>
      </x:c>
      <x:c r="I152" t="str">
        <x:v>QUALIFIED</x:v>
      </x:c>
      <x:c r="J152" t="str">
        <x:v>Jordan Lee</x:v>
      </x:c>
      <x:c r="K152" s="6" t="n">
        <x:v>46068</x:v>
      </x:c>
      <x:c r="L152" s="6" t="n">
        <x:v>46127</x:v>
      </x:c>
      <x:c r="M152" s="6" t="n">
        <x:v>46149</x:v>
      </x:c>
      <x:c r="N152" s="8" t="n">
        <x:v>16500</x:v>
      </x:c>
      <x:c r="O152" t="str">
        <x:v>Retail</x:v>
      </x:c>
      <x:c r="P152" t="str">
        <x:v>Yes</x:v>
      </x:c>
      <x:c r="Q152" t="str">
        <x:v>No</x:v>
      </x:c>
      <x:c r="R152" s="6"/>
    </x:row>
    <x:row r="153">
      <x:c r="A153" t="str">
        <x:v>L-0152</x:v>
      </x:c>
      <x:c r="B153" t="str">
        <x:v>Sophia</x:v>
      </x:c>
      <x:c r="C153" t="str">
        <x:v>Davis</x:v>
      </x:c>
      <x:c r="D153" t="str">
        <x:v>Apex Manufacturing</x:v>
      </x:c>
      <x:c r="E153" t="str">
        <x:v>sophia.davis302@prospect.co</x:v>
      </x:c>
      <x:c r="F153" t="str">
        <x:v>(320) 725-5222</x:v>
      </x:c>
      <x:c r="G153" t="str">
        <x:v>AZ</x:v>
      </x:c>
      <x:c r="H153" t="str">
        <x:v>Trade Show</x:v>
      </x:c>
      <x:c r="I153" t="str">
        <x:v>Contact</x:v>
      </x:c>
      <x:c r="J153" t="str">
        <x:v>alex kim</x:v>
      </x:c>
      <x:c r="K153" s="6" t="n">
        <x:v>46142</x:v>
      </x:c>
      <x:c r="L153" s="6" t="n">
        <x:v>46206</x:v>
      </x:c>
      <x:c r="M153" s="6" t="n">
        <x:v>46212</x:v>
      </x:c>
      <x:c r="N153" s="8" t="n">
        <x:v>48600</x:v>
      </x:c>
      <x:c r="O153" t="str">
        <x:v>Logistics</x:v>
      </x:c>
      <x:c r="P153" t="str">
        <x:v>No</x:v>
      </x:c>
      <x:c r="Q153" t="str">
        <x:v>No</x:v>
      </x:c>
      <x:c r="R153" s="6"/>
    </x:row>
    <x:row r="154">
      <x:c r="A154" t="str">
        <x:v>L-0153</x:v>
      </x:c>
      <x:c r="B154" t="str">
        <x:v>Mia</x:v>
      </x:c>
      <x:c r="C154" t="str">
        <x:v>Thomas</x:v>
      </x:c>
      <x:c r="D154" t="str">
        <x:v>Clearview Media</x:v>
      </x:c>
      <x:c r="E154" t="str">
        <x:v>mia.thomas295@northmail.com</x:v>
      </x:c>
      <x:c r="F154" t="str">
        <x:v>(609) 889-6603</x:v>
      </x:c>
      <x:c r="G154" t="str">
        <x:v>IL</x:v>
      </x:c>
      <x:c r="H154" t="str">
        <x:v>referral</x:v>
      </x:c>
      <x:c r="I154" t="str">
        <x:v>CONTACTED</x:v>
      </x:c>
      <x:c r="J154" t="str">
        <x:v> Taylor Morgan </x:v>
      </x:c>
      <x:c r="K154" s="6" t="n">
        <x:v>46109</x:v>
      </x:c>
      <x:c r="L154" s="6" t="n">
        <x:v>46111</x:v>
      </x:c>
      <x:c r="M154" s="6" t="n">
        <x:v>46136</x:v>
      </x:c>
      <x:c r="N154" s="8" t="n">
        <x:v>71200</x:v>
      </x:c>
      <x:c r="O154" t="str">
        <x:v>Retail</x:v>
      </x:c>
      <x:c r="P154" t="str">
        <x:v>No</x:v>
      </x:c>
      <x:c r="Q154" t="str">
        <x:v>No</x:v>
      </x:c>
      <x:c r="R154" s="6"/>
    </x:row>
    <x:row r="155">
      <x:c r="A155" t="str">
        <x:v>L-0154</x:v>
      </x:c>
      <x:c r="B155" t="str">
        <x:v>Olivia</x:v>
      </x:c>
      <x:c r="C155" t="str">
        <x:v>Davis</x:v>
      </x:c>
      <x:c r="D155" t="str">
        <x:v>Pioneer Tech</x:v>
      </x:c>
      <x:c r="E155" t="str">
        <x:v>olivia.davis981@northmail.com</x:v>
      </x:c>
      <x:c r="F155" t="str">
        <x:v>694-580-6167</x:v>
      </x:c>
      <x:c r="G155" t="str">
        <x:v>TX</x:v>
      </x:c>
      <x:c r="H155" t="str">
        <x:v> Website </x:v>
      </x:c>
      <x:c r="I155" t="str">
        <x:v>new</x:v>
      </x:c>
      <x:c r="J155" t="str">
        <x:v>Alex Kim</x:v>
      </x:c>
      <x:c r="K155" s="6" t="n">
        <x:v>46077</x:v>
      </x:c>
      <x:c r="L155" s="6" t="n">
        <x:v>46203</x:v>
      </x:c>
      <x:c r="M155" s="6" t="n">
        <x:v>46225</x:v>
      </x:c>
      <x:c r="N155" s="8" t="n">
        <x:v>3000</x:v>
      </x:c>
      <x:c r="O155" t="str">
        <x:v>Manufacturing</x:v>
      </x:c>
      <x:c r="P155" t="str">
        <x:v>No</x:v>
      </x:c>
      <x:c r="Q155" t="str">
        <x:v>No</x:v>
      </x:c>
      <x:c r="R155" s="6"/>
    </x:row>
    <x:row r="156">
      <x:c r="A156" t="str">
        <x:v>L-0155</x:v>
      </x:c>
      <x:c r="B156" t="str">
        <x:v>Liam</x:v>
      </x:c>
      <x:c r="C156" t="str">
        <x:v>Martin</x:v>
      </x:c>
      <x:c r="D156" t="str">
        <x:v>Pioneer Tech</x:v>
      </x:c>
      <x:c r="E156" t="str">
        <x:v>liam.martin13@examplebiz.com</x:v>
      </x:c>
      <x:c r="F156" t="str">
        <x:v>(589) 794-2650</x:v>
      </x:c>
      <x:c r="G156" t="str">
        <x:v>OH</x:v>
      </x:c>
      <x:c r="H156" t="str">
        <x:v>EMAIL</x:v>
      </x:c>
      <x:c r="I156" t="str">
        <x:v>QUALIFIED</x:v>
      </x:c>
      <x:c r="J156" t="str">
        <x:v>Jordan Lee</x:v>
      </x:c>
      <x:c r="K156" s="6" t="n">
        <x:v>46216</x:v>
      </x:c>
      <x:c r="L156" s="6" t="n">
        <x:v>46249</x:v>
      </x:c>
      <x:c r="M156" s="6" t="n">
        <x:v>46266</x:v>
      </x:c>
      <x:c r="N156" s="8" t="n">
        <x:v>28500</x:v>
      </x:c>
      <x:c r="O156" t="str">
        <x:v>Professional Services</x:v>
      </x:c>
      <x:c r="P156" t="str">
        <x:v>Yes</x:v>
      </x:c>
      <x:c r="Q156" t="str">
        <x:v>No</x:v>
      </x:c>
      <x:c r="R156" s="6"/>
    </x:row>
    <x:row r="157">
      <x:c r="A157" t="str">
        <x:v>L-0156</x:v>
      </x:c>
      <x:c r="B157" t="str">
        <x:v>Sophia</x:v>
      </x:c>
      <x:c r="C157" t="str">
        <x:v>Moore</x:v>
      </x:c>
      <x:c r="D157" t="str">
        <x:v>CedarWorks</x:v>
      </x:c>
      <x:c r="E157" t="str">
        <x:v>sophia.moore443@mailhub.net</x:v>
      </x:c>
      <x:c r="F157" t="str">
        <x:v>(401) 349-3450</x:v>
      </x:c>
      <x:c r="G157" t="str">
        <x:v>WA</x:v>
      </x:c>
      <x:c r="H157" t="str">
        <x:v>Linked In</x:v>
      </x:c>
      <x:c r="I157" t="str">
        <x:v>Closed Won</x:v>
      </x:c>
      <x:c r="J157" t="str"/>
      <x:c r="K157" s="6" t="n">
        <x:v>46062</x:v>
      </x:c>
      <x:c r="L157" s="6" t="n">
        <x:v>46131</x:v>
      </x:c>
      <x:c r="M157" s="6"/>
      <x:c r="N157" s="8" t="n">
        <x:v>68800</x:v>
      </x:c>
      <x:c r="O157" t="str">
        <x:v>Manufacturing</x:v>
      </x:c>
      <x:c r="P157" t="str">
        <x:v>Yes</x:v>
      </x:c>
      <x:c r="Q157" t="str">
        <x:v>Yes</x:v>
      </x:c>
      <x:c r="R157" s="6" t="n">
        <x:v>46139</x:v>
      </x:c>
    </x:row>
    <x:row r="158">
      <x:c r="A158" t="str">
        <x:v>L-0157</x:v>
      </x:c>
      <x:c r="B158" t="str">
        <x:v> Ethan </x:v>
      </x:c>
      <x:c r="C158" t="str">
        <x:v>Johnson</x:v>
      </x:c>
      <x:c r="D158" t="str">
        <x:v>Apex Manufacturing</x:v>
      </x:c>
      <x:c r="E158" t="str">
        <x:v>ethan.johnson571@prospect.co</x:v>
      </x:c>
      <x:c r="F158" t="str">
        <x:v>(553) 220-7746</x:v>
      </x:c>
      <x:c r="G158" t="str">
        <x:v>NC</x:v>
      </x:c>
      <x:c r="H158" t="str">
        <x:v>Email</x:v>
      </x:c>
      <x:c r="I158" t="str">
        <x:v>New</x:v>
      </x:c>
      <x:c r="J158" t="str">
        <x:v>Alex Kim</x:v>
      </x:c>
      <x:c r="K158" s="6" t="n">
        <x:v>46056</x:v>
      </x:c>
      <x:c r="L158" s="6" t="n">
        <x:v>46141</x:v>
      </x:c>
      <x:c r="M158" s="6" t="n">
        <x:v>46152</x:v>
      </x:c>
      <x:c r="N158" s="8" t="n">
        <x:v>32300</x:v>
      </x:c>
      <x:c r="O158" t="str">
        <x:v>Financial Services</x:v>
      </x:c>
      <x:c r="P158" t="str">
        <x:v>No</x:v>
      </x:c>
      <x:c r="Q158" t="str">
        <x:v>No</x:v>
      </x:c>
      <x:c r="R158" s="6"/>
    </x:row>
    <x:row r="159">
      <x:c r="A159" t="str">
        <x:v>L-0158</x:v>
      </x:c>
      <x:c r="B159" t="str">
        <x:v>Lucas</x:v>
      </x:c>
      <x:c r="C159" t="str">
        <x:v>Moore</x:v>
      </x:c>
      <x:c r="D159" t="str">
        <x:v>Blue Ridge Supply</x:v>
      </x:c>
      <x:c r="E159" t="str">
        <x:v>lucas.moore82@examplebiz.com</x:v>
      </x:c>
      <x:c r="F159" t="str">
        <x:v>(552) 433-6136</x:v>
      </x:c>
      <x:c r="G159" t="str">
        <x:v>OH</x:v>
      </x:c>
      <x:c r="H159" t="str">
        <x:v>email campaign</x:v>
      </x:c>
      <x:c r="I159" t="str">
        <x:v>Contacted</x:v>
      </x:c>
      <x:c r="J159" t="str">
        <x:v>jordan lee</x:v>
      </x:c>
      <x:c r="K159" s="6" t="n">
        <x:v>46085</x:v>
      </x:c>
      <x:c r="L159" s="6" t="n">
        <x:v>46241</x:v>
      </x:c>
      <x:c r="M159" s="6" t="n">
        <x:v>46262</x:v>
      </x:c>
      <x:c r="N159" s="8" t="n">
        <x:v>35900</x:v>
      </x:c>
      <x:c r="O159" t="str">
        <x:v>Manufacturing</x:v>
      </x:c>
      <x:c r="P159" t="str">
        <x:v>No</x:v>
      </x:c>
      <x:c r="Q159" t="str">
        <x:v>No</x:v>
      </x:c>
      <x:c r="R159" s="6"/>
    </x:row>
    <x:row r="160">
      <x:c r="A160" t="str">
        <x:v>L-0159</x:v>
      </x:c>
      <x:c r="B160" t="str">
        <x:v>mason</x:v>
      </x:c>
      <x:c r="C160" t="str">
        <x:v>Rodriguez</x:v>
      </x:c>
      <x:c r="D160" t="str">
        <x:v> BrightPath Health </x:v>
      </x:c>
      <x:c r="E160" t="str">
        <x:v> mason.rodriguez537@northmail.com </x:v>
      </x:c>
      <x:c r="F160" t="str">
        <x:v>(307) 468-3544</x:v>
      </x:c>
      <x:c r="G160" t="str">
        <x:v>CA</x:v>
      </x:c>
      <x:c r="H160" t="str">
        <x:v>REFERRAL</x:v>
      </x:c>
      <x:c r="I160" t="str">
        <x:v>new</x:v>
      </x:c>
      <x:c r="J160" t="str">
        <x:v>Morgan Reed</x:v>
      </x:c>
      <x:c r="K160" s="6" t="n">
        <x:v>46125</x:v>
      </x:c>
      <x:c r="L160" s="6" t="n">
        <x:v>46195</x:v>
      </x:c>
      <x:c r="M160" s="6" t="n">
        <x:v>46199</x:v>
      </x:c>
      <x:c r="N160" s="8" t="n">
        <x:v>4700</x:v>
      </x:c>
      <x:c r="O160" t="str">
        <x:v>Retail</x:v>
      </x:c>
      <x:c r="P160" t="str">
        <x:v>No</x:v>
      </x:c>
      <x:c r="Q160" t="str">
        <x:v>No</x:v>
      </x:c>
      <x:c r="R160" s="6"/>
    </x:row>
    <x:row r="161">
      <x:c r="A161" t="str">
        <x:v>L-0160</x:v>
      </x:c>
      <x:c r="B161" t="str">
        <x:v>Elijah</x:v>
      </x:c>
      <x:c r="C161" t="str">
        <x:v>Rodriguez</x:v>
      </x:c>
      <x:c r="D161" t="str">
        <x:v>Prairie Health</x:v>
      </x:c>
      <x:c r="E161" t="str">
        <x:v>ethan.perez44@examplebiz.com</x:v>
      </x:c>
      <x:c r="F161" t="str">
        <x:v>556-693-9841</x:v>
      </x:c>
      <x:c r="G161" t="str">
        <x:v>PA</x:v>
      </x:c>
      <x:c r="H161" t="str">
        <x:v>webinar</x:v>
      </x:c>
      <x:c r="I161" t="str">
        <x:v>Qual</x:v>
      </x:c>
      <x:c r="J161" t="str">
        <x:v>Morgan Reed</x:v>
      </x:c>
      <x:c r="K161" s="6" t="n">
        <x:v>46130</x:v>
      </x:c>
      <x:c r="L161" s="6" t="n">
        <x:v>46210</x:v>
      </x:c>
      <x:c r="M161" s="6" t="n">
        <x:v>46233</x:v>
      </x:c>
      <x:c r="N161" s="8" t="n">
        <x:v>74900</x:v>
      </x:c>
      <x:c r="O161" t="str">
        <x:v>Manufacturing</x:v>
      </x:c>
      <x:c r="P161" t="str">
        <x:v>Yes</x:v>
      </x:c>
      <x:c r="Q161" t="str">
        <x:v>No</x:v>
      </x:c>
      <x:c r="R161" s="6"/>
    </x:row>
    <x:row r="162">
      <x:c r="A162" t="str">
        <x:v>L-0161</x:v>
      </x:c>
      <x:c r="B162" t="str">
        <x:v>James</x:v>
      </x:c>
      <x:c r="C162" t="str">
        <x:v>Martinez</x:v>
      </x:c>
      <x:c r="D162" t="str">
        <x:v>Clearview Media</x:v>
      </x:c>
      <x:c r="E162" t="str">
        <x:v>james.martinez755@mailhub.net</x:v>
      </x:c>
      <x:c r="F162" t="str">
        <x:v>(588) 425-5308</x:v>
      </x:c>
      <x:c r="G162" t="str">
        <x:v>GA</x:v>
      </x:c>
      <x:c r="H162" t="str">
        <x:v>Referral</x:v>
      </x:c>
      <x:c r="I162" t="str">
        <x:v>contacted</x:v>
      </x:c>
      <x:c r="J162" t="str">
        <x:v>jamie brooks</x:v>
      </x:c>
      <x:c r="K162" s="6" t="n">
        <x:v>46103</x:v>
      </x:c>
      <x:c r="L162" s="6" t="n">
        <x:v>46214</x:v>
      </x:c>
      <x:c r="M162" s="6" t="n">
        <x:v>46229</x:v>
      </x:c>
      <x:c r="N162" s="8" t="n">
        <x:v>23100</x:v>
      </x:c>
      <x:c r="O162" t="str">
        <x:v>Healthcare</x:v>
      </x:c>
      <x:c r="P162" t="str">
        <x:v>No</x:v>
      </x:c>
      <x:c r="Q162" t="str">
        <x:v>No</x:v>
      </x:c>
      <x:c r="R162" s="6"/>
    </x:row>
    <x:row r="163">
      <x:c r="A163" t="str">
        <x:v>L-0162</x:v>
      </x:c>
      <x:c r="B163" t="str">
        <x:v>Noah</x:v>
      </x:c>
      <x:c r="C163" t="str">
        <x:v>Moore</x:v>
      </x:c>
      <x:c r="D163" t="str">
        <x:v>Prairie Health</x:v>
      </x:c>
      <x:c r="E163" t="str">
        <x:v>noah.moore191@northmail.com</x:v>
      </x:c>
      <x:c r="F163" t="str">
        <x:v>(489) 475-3048</x:v>
      </x:c>
      <x:c r="G163" t="str">
        <x:v>PA</x:v>
      </x:c>
      <x:c r="H163" t="str">
        <x:v>trade show</x:v>
      </x:c>
      <x:c r="I163" t="str">
        <x:v>New</x:v>
      </x:c>
      <x:c r="J163" t="str">
        <x:v>Jordan Lee</x:v>
      </x:c>
      <x:c r="K163" s="6" t="n">
        <x:v>46242</x:v>
      </x:c>
      <x:c r="L163" s="6" t="n">
        <x:v>46244</x:v>
      </x:c>
      <x:c r="M163" s="6" t="n">
        <x:v>46248</x:v>
      </x:c>
      <x:c r="N163" s="8" t="n">
        <x:v>82500</x:v>
      </x:c>
      <x:c r="O163" t="str">
        <x:v>Financial Services</x:v>
      </x:c>
      <x:c r="P163" t="str">
        <x:v>No</x:v>
      </x:c>
      <x:c r="Q163" t="str">
        <x:v>No</x:v>
      </x:c>
      <x:c r="R163" s="6"/>
    </x:row>
    <x:row r="164">
      <x:c r="A164" t="str">
        <x:v>L-0163</x:v>
      </x:c>
      <x:c r="B164" t="str">
        <x:v> Emma </x:v>
      </x:c>
      <x:c r="C164" t="str">
        <x:v>Johnson</x:v>
      </x:c>
      <x:c r="D164" t="str">
        <x:v>Horizon Bio</x:v>
      </x:c>
      <x:c r="E164" t="str">
        <x:v>emma.johnson998@examplebiz.com</x:v>
      </x:c>
      <x:c r="F164" t="str">
        <x:v>(595) 989-8257</x:v>
      </x:c>
      <x:c r="G164" t="str">
        <x:v>TX</x:v>
      </x:c>
      <x:c r="H164" t="str">
        <x:v>Trade Show</x:v>
      </x:c>
      <x:c r="I164" t="str">
        <x:v>NEW</x:v>
      </x:c>
      <x:c r="J164" t="str">
        <x:v>Jordan Lee</x:v>
      </x:c>
      <x:c r="K164" s="6" t="n">
        <x:v>46031</x:v>
      </x:c>
      <x:c r="L164" s="6" t="n">
        <x:v>46095</x:v>
      </x:c>
      <x:c r="M164" s="6" t="n">
        <x:v>46110</x:v>
      </x:c>
      <x:c r="N164" s="8" t="n">
        <x:v>70800</x:v>
      </x:c>
      <x:c r="O164" t="str">
        <x:v>Professional Services</x:v>
      </x:c>
      <x:c r="P164" t="str">
        <x:v>No</x:v>
      </x:c>
      <x:c r="Q164" t="str">
        <x:v>No</x:v>
      </x:c>
      <x:c r="R164" s="6"/>
    </x:row>
    <x:row r="165">
      <x:c r="A165" t="str">
        <x:v>L-0164</x:v>
      </x:c>
      <x:c r="B165" t="str">
        <x:v>evelyn</x:v>
      </x:c>
      <x:c r="C165" t="str">
        <x:v>Brown</x:v>
      </x:c>
      <x:c r="D165" t="str">
        <x:v>Horizon Bio</x:v>
      </x:c>
      <x:c r="E165" t="str">
        <x:v>evelyn.brown333@northmail.com</x:v>
      </x:c>
      <x:c r="F165" t="str">
        <x:v>(372) 482-2960</x:v>
      </x:c>
      <x:c r="G165" t="str">
        <x:v>OH</x:v>
      </x:c>
      <x:c r="H165" t="str">
        <x:v>REFERRAL</x:v>
      </x:c>
      <x:c r="I165" t="str">
        <x:v>Contacted</x:v>
      </x:c>
      <x:c r="J165" t="str">
        <x:v>MORGAN REED</x:v>
      </x:c>
      <x:c r="K165" s="6" t="n">
        <x:v>46233</x:v>
      </x:c>
      <x:c r="L165" s="6" t="n">
        <x:v>46239</x:v>
      </x:c>
      <x:c r="M165" s="6" t="n">
        <x:v>46245</x:v>
      </x:c>
      <x:c r="N165" s="8" t="n">
        <x:v>22000</x:v>
      </x:c>
      <x:c r="O165" t="str">
        <x:v>Logistics</x:v>
      </x:c>
      <x:c r="P165" t="str">
        <x:v>No</x:v>
      </x:c>
      <x:c r="Q165" t="str">
        <x:v>No</x:v>
      </x:c>
      <x:c r="R165" s="6"/>
    </x:row>
    <x:row r="166">
      <x:c r="A166" t="str">
        <x:v>L-0165</x:v>
      </x:c>
      <x:c r="B166" t="str">
        <x:v> Emma </x:v>
      </x:c>
      <x:c r="C166" t="str">
        <x:v> Lee </x:v>
      </x:c>
      <x:c r="D166" t="str">
        <x:v>Summit Analytics</x:v>
      </x:c>
      <x:c r="E166" t="str">
        <x:v>emma.lee751@examplebiz.com</x:v>
      </x:c>
      <x:c r="F166" t="str">
        <x:v>(222) 905-7189</x:v>
      </x:c>
      <x:c r="G166" t="str">
        <x:v>NC</x:v>
      </x:c>
      <x:c r="H166" t="str">
        <x:v>website</x:v>
      </x:c>
      <x:c r="I166" t="str">
        <x:v>Closed Lost</x:v>
      </x:c>
      <x:c r="J166" t="str">
        <x:v>Morgan Reed</x:v>
      </x:c>
      <x:c r="K166" s="6" t="n">
        <x:v>46045</x:v>
      </x:c>
      <x:c r="L166" s="6" t="n">
        <x:v>46210</x:v>
      </x:c>
      <x:c r="M166" s="6"/>
      <x:c r="N166" s="8" t="n">
        <x:v>64900</x:v>
      </x:c>
      <x:c r="O166" t="str">
        <x:v>Manufacturing</x:v>
      </x:c>
      <x:c r="P166" t="str">
        <x:v>Yes</x:v>
      </x:c>
      <x:c r="Q166" t="str">
        <x:v>No</x:v>
      </x:c>
      <x:c r="R166" s="6" t="n">
        <x:v>46217</x:v>
      </x:c>
    </x:row>
    <x:row r="167">
      <x:c r="A167" t="str">
        <x:v>L-0166</x:v>
      </x:c>
      <x:c r="B167" t="str">
        <x:v>Harper</x:v>
      </x:c>
      <x:c r="C167" t="str">
        <x:v>Martinez</x:v>
      </x:c>
      <x:c r="D167" t="str">
        <x:v>Horizon Bio</x:v>
      </x:c>
      <x:c r="E167" t="str">
        <x:v>harper.martinez878@prospect.co</x:v>
      </x:c>
      <x:c r="F167" t="str">
        <x:v>(836) 444-6254</x:v>
      </x:c>
      <x:c r="G167" t="str">
        <x:v>NC</x:v>
      </x:c>
      <x:c r="H167" t="str">
        <x:v>Website</x:v>
      </x:c>
      <x:c r="I167" t="str">
        <x:v>Opportunity</x:v>
      </x:c>
      <x:c r="J167" t="str">
        <x:v>Alex Kim</x:v>
      </x:c>
      <x:c r="K167" s="6" t="n">
        <x:v>46149</x:v>
      </x:c>
      <x:c r="L167" s="6" t="n">
        <x:v>46242</x:v>
      </x:c>
      <x:c r="M167" s="6" t="n">
        <x:v>46250</x:v>
      </x:c>
      <x:c r="N167" s="8" t="n">
        <x:v>75300</x:v>
      </x:c>
      <x:c r="O167" t="str">
        <x:v>Biotech</x:v>
      </x:c>
      <x:c r="P167" t="str">
        <x:v>Yes</x:v>
      </x:c>
      <x:c r="Q167" t="str">
        <x:v>No</x:v>
      </x:c>
      <x:c r="R167" s="6"/>
    </x:row>
    <x:row r="168">
      <x:c r="A168" t="str">
        <x:v>L-0167</x:v>
      </x:c>
      <x:c r="B168" t="str">
        <x:v>EMMA</x:v>
      </x:c>
      <x:c r="C168" t="str">
        <x:v>Garcia</x:v>
      </x:c>
      <x:c r="D168" t="str">
        <x:v>PEAKLINE SYSTEMS</x:v>
      </x:c>
      <x:c r="E168" t="str">
        <x:v>emma.garcia719@prospect.co</x:v>
      </x:c>
      <x:c r="F168" t="str">
        <x:v>(251) 575-4616</x:v>
      </x:c>
      <x:c r="G168" t="str">
        <x:v>TX</x:v>
      </x:c>
      <x:c r="H168" t="str">
        <x:v>webinar</x:v>
      </x:c>
      <x:c r="I168" t="str">
        <x:v>new</x:v>
      </x:c>
      <x:c r="J168" t="str">
        <x:v>Alex Kim</x:v>
      </x:c>
      <x:c r="K168" s="6" t="n">
        <x:v>46100</x:v>
      </x:c>
      <x:c r="L168" s="6" t="n">
        <x:v>46199</x:v>
      </x:c>
      <x:c r="M168" s="6" t="n">
        <x:v>46223</x:v>
      </x:c>
      <x:c r="N168" s="8" t="n">
        <x:v>42900</x:v>
      </x:c>
      <x:c r="O168" t="str">
        <x:v>Retail</x:v>
      </x:c>
      <x:c r="P168" t="str">
        <x:v>No</x:v>
      </x:c>
      <x:c r="Q168" t="str">
        <x:v>No</x:v>
      </x:c>
      <x:c r="R168" s="6"/>
    </x:row>
    <x:row r="169">
      <x:c r="A169" t="str">
        <x:v>L-0168</x:v>
      </x:c>
      <x:c r="B169" t="str">
        <x:v>Liam</x:v>
      </x:c>
      <x:c r="C169" t="str">
        <x:v>Thompson</x:v>
      </x:c>
      <x:c r="D169" t="str">
        <x:v>Horizon Bio</x:v>
      </x:c>
      <x:c r="E169" t="str">
        <x:v>liam.thompson545@mailhub.net</x:v>
      </x:c>
      <x:c r="F169" t="str">
        <x:v>(395) 397-9621</x:v>
      </x:c>
      <x:c r="G169" t="str">
        <x:v>PA</x:v>
      </x:c>
      <x:c r="H169" t="str">
        <x:v>Website</x:v>
      </x:c>
      <x:c r="I169" t="str">
        <x:v>contacted</x:v>
      </x:c>
      <x:c r="J169" t="str">
        <x:v>Taylor Morgan</x:v>
      </x:c>
      <x:c r="K169" s="6" t="n">
        <x:v>46191</x:v>
      </x:c>
      <x:c r="L169" s="6" t="n">
        <x:v>46224</x:v>
      </x:c>
      <x:c r="M169" s="6" t="n">
        <x:v>46230</x:v>
      </x:c>
      <x:c r="N169" s="8" t="n">
        <x:v>10900</x:v>
      </x:c>
      <x:c r="O169" t="str">
        <x:v>Healthcare</x:v>
      </x:c>
      <x:c r="P169" t="str">
        <x:v>No</x:v>
      </x:c>
      <x:c r="Q169" t="str">
        <x:v>No</x:v>
      </x:c>
      <x:c r="R169" s="6"/>
    </x:row>
    <x:row r="170">
      <x:c r="A170" t="str">
        <x:v>L-0169</x:v>
      </x:c>
      <x:c r="B170" t="str">
        <x:v>Elijah</x:v>
      </x:c>
      <x:c r="C170" t="str">
        <x:v>Thomas</x:v>
      </x:c>
      <x:c r="D170" t="str">
        <x:v>Redstone Consulting</x:v>
      </x:c>
      <x:c r="E170" t="str">
        <x:v>elijah.thomas866@prospect.co</x:v>
      </x:c>
      <x:c r="F170" t="str">
        <x:v>623-982-8054</x:v>
      </x:c>
      <x:c r="G170" t="str">
        <x:v>GA</x:v>
      </x:c>
      <x:c r="H170" t="str">
        <x:v>Outbound</x:v>
      </x:c>
      <x:c r="I170" t="str">
        <x:v>QUALIFIED</x:v>
      </x:c>
      <x:c r="J170" t="str">
        <x:v>Casey Patel</x:v>
      </x:c>
      <x:c r="K170" s="6" t="n">
        <x:v>46156</x:v>
      </x:c>
      <x:c r="L170" s="6" t="n">
        <x:v>46196</x:v>
      </x:c>
      <x:c r="M170" s="6" t="n">
        <x:v>46216</x:v>
      </x:c>
      <x:c r="N170" s="8" t="n">
        <x:v>84300</x:v>
      </x:c>
      <x:c r="O170" t="str">
        <x:v>Manufacturing</x:v>
      </x:c>
      <x:c r="P170" t="str">
        <x:v>Yes</x:v>
      </x:c>
      <x:c r="Q170" t="str">
        <x:v>No</x:v>
      </x:c>
      <x:c r="R170" s="6"/>
    </x:row>
    <x:row r="171">
      <x:c r="A171" t="str">
        <x:v>L-0170</x:v>
      </x:c>
      <x:c r="B171" t="str">
        <x:v>evelyn</x:v>
      </x:c>
      <x:c r="C171" t="str">
        <x:v>Jones</x:v>
      </x:c>
      <x:c r="D171" t="str">
        <x:v>Evergreen Services</x:v>
      </x:c>
      <x:c r="E171" t="str">
        <x:v>evelyn.jones524@examplebiz.com</x:v>
      </x:c>
      <x:c r="F171" t="str">
        <x:v>(297) 238-8542</x:v>
      </x:c>
      <x:c r="G171" t="str">
        <x:v>NY</x:v>
      </x:c>
      <x:c r="H171" t="str">
        <x:v>Cold Outreach</x:v>
      </x:c>
      <x:c r="I171" t="str">
        <x:v>contacted</x:v>
      </x:c>
      <x:c r="J171" t="str">
        <x:v>Alex Kim</x:v>
      </x:c>
      <x:c r="K171" s="6" t="n">
        <x:v>46166</x:v>
      </x:c>
      <x:c r="L171" s="6" t="n">
        <x:v>46168</x:v>
      </x:c>
      <x:c r="M171" s="6" t="n">
        <x:v>46193</x:v>
      </x:c>
      <x:c r="N171" s="8" t="n">
        <x:v>70300</x:v>
      </x:c>
      <x:c r="O171" t="str">
        <x:v>Healthcare</x:v>
      </x:c>
      <x:c r="P171" t="str">
        <x:v>No</x:v>
      </x:c>
      <x:c r="Q171" t="str">
        <x:v>No</x:v>
      </x:c>
      <x:c r="R171" s="6"/>
    </x:row>
    <x:row r="172">
      <x:c r="A172" t="str">
        <x:v>L-0171</x:v>
      </x:c>
      <x:c r="B172" t="str">
        <x:v>Luna</x:v>
      </x:c>
      <x:c r="C172" t="str">
        <x:v>Brown</x:v>
      </x:c>
      <x:c r="D172" t="str">
        <x:v>evergreen services</x:v>
      </x:c>
      <x:c r="E172" t="str">
        <x:v>luna.brown427@northmail.com</x:v>
      </x:c>
      <x:c r="F172" t="str">
        <x:v>(989) 432-1187</x:v>
      </x:c>
      <x:c r="G172" t="str">
        <x:v>PA</x:v>
      </x:c>
      <x:c r="H172" t="str">
        <x:v>Email</x:v>
      </x:c>
      <x:c r="I172" t="str">
        <x:v>Contacted</x:v>
      </x:c>
      <x:c r="J172" t="str">
        <x:v>Morgan Reed</x:v>
      </x:c>
      <x:c r="K172" s="6" t="n">
        <x:v>46047</x:v>
      </x:c>
      <x:c r="L172" s="6" t="n">
        <x:v>46061</x:v>
      </x:c>
      <x:c r="M172" s="6" t="n">
        <x:v>46074</x:v>
      </x:c>
      <x:c r="N172" s="8" t="n">
        <x:v>31200</x:v>
      </x:c>
      <x:c r="O172" t="str">
        <x:v>Healthcare</x:v>
      </x:c>
      <x:c r="P172" t="str">
        <x:v>No</x:v>
      </x:c>
      <x:c r="Q172" t="str">
        <x:v>No</x:v>
      </x:c>
      <x:c r="R172" s="6"/>
    </x:row>
    <x:row r="173">
      <x:c r="A173" t="str">
        <x:v>L-0172</x:v>
      </x:c>
      <x:c r="B173" t="str">
        <x:v>Lucas</x:v>
      </x:c>
      <x:c r="C173" t="str">
        <x:v>Thomas</x:v>
      </x:c>
      <x:c r="D173" t="str">
        <x:v>Blue Ridge Supply</x:v>
      </x:c>
      <x:c r="E173" t="str">
        <x:v>lucas.thomas514@mailhub.net</x:v>
      </x:c>
      <x:c r="F173" t="str">
        <x:v>(915) 333-3209</x:v>
      </x:c>
      <x:c r="G173" t="str">
        <x:v>IL</x:v>
      </x:c>
      <x:c r="H173" t="str">
        <x:v>Website</x:v>
      </x:c>
      <x:c r="I173" t="str">
        <x:v>Qualified</x:v>
      </x:c>
      <x:c r="J173" t="str">
        <x:v>Morgan Reed</x:v>
      </x:c>
      <x:c r="K173" s="6" t="n">
        <x:v>46234</x:v>
      </x:c>
      <x:c r="L173" s="6" t="n">
        <x:v>46251</x:v>
      </x:c>
      <x:c r="M173" s="6" t="n">
        <x:v>46266</x:v>
      </x:c>
      <x:c r="N173" s="8" t="n">
        <x:v>24200</x:v>
      </x:c>
      <x:c r="O173" t="str">
        <x:v>Manufacturing</x:v>
      </x:c>
      <x:c r="P173" t="str">
        <x:v>Yes</x:v>
      </x:c>
      <x:c r="Q173" t="str">
        <x:v>No</x:v>
      </x:c>
      <x:c r="R173" s="6"/>
    </x:row>
    <x:row r="174">
      <x:c r="A174" t="str">
        <x:v>L-0173</x:v>
      </x:c>
      <x:c r="B174" t="str">
        <x:v>james</x:v>
      </x:c>
      <x:c r="C174" t="str">
        <x:v>ANDERSON</x:v>
      </x:c>
      <x:c r="D174" t="str"/>
      <x:c r="E174" t="str">
        <x:v>james.anderson842@mailhub.net</x:v>
      </x:c>
      <x:c r="F174" t="str">
        <x:v>(839) 349-8216</x:v>
      </x:c>
      <x:c r="G174" t="str">
        <x:v>IL</x:v>
      </x:c>
      <x:c r="H174" t="str">
        <x:v>REFERRAL</x:v>
      </x:c>
      <x:c r="I174" t="str">
        <x:v>Opportunity</x:v>
      </x:c>
      <x:c r="J174" t="str">
        <x:v>Alex Kim</x:v>
      </x:c>
      <x:c r="K174" s="6" t="n">
        <x:v>46049</x:v>
      </x:c>
      <x:c r="L174" s="6" t="n">
        <x:v>46127</x:v>
      </x:c>
      <x:c r="M174" s="6" t="n">
        <x:v>46135</x:v>
      </x:c>
      <x:c r="N174" s="8" t="n">
        <x:v>84000</x:v>
      </x:c>
      <x:c r="O174" t="str">
        <x:v>Retail</x:v>
      </x:c>
      <x:c r="P174" t="str">
        <x:v>Yes</x:v>
      </x:c>
      <x:c r="Q174" t="str">
        <x:v>No</x:v>
      </x:c>
      <x:c r="R174" s="6"/>
    </x:row>
    <x:row r="175">
      <x:c r="A175" t="str">
        <x:v>L-0174</x:v>
      </x:c>
      <x:c r="B175" t="str">
        <x:v>NOAH</x:v>
      </x:c>
      <x:c r="C175" t="str">
        <x:v> Martinez </x:v>
      </x:c>
      <x:c r="D175" t="str">
        <x:v>Prairie Health</x:v>
      </x:c>
      <x:c r="E175" t="str">
        <x:v>noah.martinez562@mailhub.net</x:v>
      </x:c>
      <x:c r="F175" t="str">
        <x:v>(838) 947-3315</x:v>
      </x:c>
      <x:c r="G175" t="str">
        <x:v>CO</x:v>
      </x:c>
      <x:c r="H175" t="str">
        <x:v>Referral</x:v>
      </x:c>
      <x:c r="I175" t="str">
        <x:v>Opportunity</x:v>
      </x:c>
      <x:c r="J175" t="str">
        <x:v>Casey Patel</x:v>
      </x:c>
      <x:c r="K175" s="6" t="n">
        <x:v>46192</x:v>
      </x:c>
      <x:c r="L175" s="6" t="n">
        <x:v>46205</x:v>
      </x:c>
      <x:c r="M175" s="6" t="n">
        <x:v>46225</x:v>
      </x:c>
      <x:c r="N175" s="8" t="n">
        <x:v>45700</x:v>
      </x:c>
      <x:c r="O175" t="str">
        <x:v>Logistics</x:v>
      </x:c>
      <x:c r="P175" t="str">
        <x:v>Yes</x:v>
      </x:c>
      <x:c r="Q175" t="str">
        <x:v>No</x:v>
      </x:c>
      <x:c r="R175" s="6"/>
    </x:row>
    <x:row r="176">
      <x:c r="A176" t="str">
        <x:v>L-0175</x:v>
      </x:c>
      <x:c r="B176" t="str">
        <x:v>Sophia</x:v>
      </x:c>
      <x:c r="C176" t="str">
        <x:v>Anderson</x:v>
      </x:c>
      <x:c r="D176" t="str">
        <x:v>Summit Analytics</x:v>
      </x:c>
      <x:c r="E176" t="str">
        <x:v> ethan.taylor58@examplebiz.com </x:v>
      </x:c>
      <x:c r="F176" t="str">
        <x:v>(697) 811-9709</x:v>
      </x:c>
      <x:c r="G176" t="str">
        <x:v>NY</x:v>
      </x:c>
      <x:c r="H176" t="str">
        <x:v>EMAIL</x:v>
      </x:c>
      <x:c r="I176" t="str">
        <x:v>OPP</x:v>
      </x:c>
      <x:c r="J176" t="str">
        <x:v>Jordan Lee</x:v>
      </x:c>
      <x:c r="K176" s="6" t="n">
        <x:v>46187</x:v>
      </x:c>
      <x:c r="L176" s="6" t="n">
        <x:v>46235</x:v>
      </x:c>
      <x:c r="M176" s="6" t="n">
        <x:v>46254</x:v>
      </x:c>
      <x:c r="N176" s="8" t="n">
        <x:v>83100</x:v>
      </x:c>
      <x:c r="O176" t="str">
        <x:v>Healthcare</x:v>
      </x:c>
      <x:c r="P176" t="str">
        <x:v>Yes</x:v>
      </x:c>
      <x:c r="Q176" t="str">
        <x:v>No</x:v>
      </x:c>
      <x:c r="R176" s="6"/>
    </x:row>
    <x:row r="177">
      <x:c r="A177" t="str">
        <x:v>L-0176</x:v>
      </x:c>
      <x:c r="B177" t="str">
        <x:v>Evelyn</x:v>
      </x:c>
      <x:c r="C177" t="str">
        <x:v>Rodriguez</x:v>
      </x:c>
      <x:c r="D177" t="str">
        <x:v>Peakline Systems</x:v>
      </x:c>
      <x:c r="E177" t="str">
        <x:v>evelyn.rodriguez156@prospect.co</x:v>
      </x:c>
      <x:c r="F177" t="str">
        <x:v>(603) 872-3248</x:v>
      </x:c>
      <x:c r="G177" t="str">
        <x:v>AZ</x:v>
      </x:c>
      <x:c r="H177" t="str">
        <x:v>email campaign</x:v>
      </x:c>
      <x:c r="I177" t="str">
        <x:v>closed won</x:v>
      </x:c>
      <x:c r="J177" t="str">
        <x:v>Taylor Morgan</x:v>
      </x:c>
      <x:c r="K177" s="6" t="n">
        <x:v>46239</x:v>
      </x:c>
      <x:c r="L177" s="6" t="n">
        <x:v>46247</x:v>
      </x:c>
      <x:c r="M177" s="6"/>
      <x:c r="N177" s="8" t="n">
        <x:v>80800</x:v>
      </x:c>
      <x:c r="O177" t="str">
        <x:v>Financial Services</x:v>
      </x:c>
      <x:c r="P177" t="str">
        <x:v>Yes</x:v>
      </x:c>
      <x:c r="Q177" t="str">
        <x:v>Yes</x:v>
      </x:c>
      <x:c r="R177" s="6" t="n">
        <x:v>46250</x:v>
      </x:c>
    </x:row>
    <x:row r="178">
      <x:c r="A178" t="str">
        <x:v>L-0177</x:v>
      </x:c>
      <x:c r="B178" t="str">
        <x:v>Luna</x:v>
      </x:c>
      <x:c r="C178" t="str">
        <x:v>Lee</x:v>
      </x:c>
      <x:c r="D178" t="str">
        <x:v>Apex Manufacturing</x:v>
      </x:c>
      <x:c r="E178" t="str">
        <x:v>luna.lee672@examplebiz.com</x:v>
      </x:c>
      <x:c r="F178" t="str">
        <x:v>(526) 269-9732</x:v>
      </x:c>
      <x:c r="G178" t="str">
        <x:v>NY</x:v>
      </x:c>
      <x:c r="H178" t="str">
        <x:v>LINKEDIN</x:v>
      </x:c>
      <x:c r="I178" t="str">
        <x:v>closed lost</x:v>
      </x:c>
      <x:c r="J178" t="str">
        <x:v>Taylor Morgan</x:v>
      </x:c>
      <x:c r="K178" s="6" t="n">
        <x:v>46212</x:v>
      </x:c>
      <x:c r="L178" s="6" t="n">
        <x:v>46239</x:v>
      </x:c>
      <x:c r="M178" s="6"/>
      <x:c r="N178" s="8" t="n">
        <x:v>84600</x:v>
      </x:c>
      <x:c r="O178" t="str">
        <x:v>Manufacturing</x:v>
      </x:c>
      <x:c r="P178" t="str">
        <x:v>Yes</x:v>
      </x:c>
      <x:c r="Q178" t="str">
        <x:v>No</x:v>
      </x:c>
      <x:c r="R178" s="6" t="n">
        <x:v>46245</x:v>
      </x:c>
    </x:row>
    <x:row r="179">
      <x:c r="A179" t="str">
        <x:v>L-0178</x:v>
      </x:c>
      <x:c r="B179" t="str">
        <x:v>Noah</x:v>
      </x:c>
      <x:c r="C179" t="str">
        <x:v> Jones </x:v>
      </x:c>
      <x:c r="D179" t="str">
        <x:v>CedarWorks</x:v>
      </x:c>
      <x:c r="E179" t="str">
        <x:v>noah.jones27@prospect.co</x:v>
      </x:c>
      <x:c r="F179" t="str">
        <x:v>(282) 904-8808</x:v>
      </x:c>
      <x:c r="G179" t="str">
        <x:v>WA</x:v>
      </x:c>
      <x:c r="H179" t="str">
        <x:v>trade show</x:v>
      </x:c>
      <x:c r="I179" t="str">
        <x:v>opportunity</x:v>
      </x:c>
      <x:c r="J179" t="str">
        <x:v>Jamie Brooks</x:v>
      </x:c>
      <x:c r="K179" s="6" t="n">
        <x:v>46090</x:v>
      </x:c>
      <x:c r="L179" s="6" t="n">
        <x:v>46149</x:v>
      </x:c>
      <x:c r="M179" s="6" t="n">
        <x:v>46171</x:v>
      </x:c>
      <x:c r="N179" s="8" t="n">
        <x:v>21700</x:v>
      </x:c>
      <x:c r="O179" t="str">
        <x:v>Healthcare</x:v>
      </x:c>
      <x:c r="P179" t="str">
        <x:v>Yes</x:v>
      </x:c>
      <x:c r="Q179" t="str">
        <x:v>No</x:v>
      </x:c>
      <x:c r="R179" s="6"/>
    </x:row>
    <x:row r="180">
      <x:c r="A180" t="str">
        <x:v>L-0179</x:v>
      </x:c>
      <x:c r="B180" t="str">
        <x:v>Olivia</x:v>
      </x:c>
      <x:c r="C180" t="str">
        <x:v>Miller</x:v>
      </x:c>
      <x:c r="D180" t="str">
        <x:v>BrightPath Health</x:v>
      </x:c>
      <x:c r="E180" t="str">
        <x:v> olivia.miller623@mailhub.net </x:v>
      </x:c>
      <x:c r="F180" t="str">
        <x:v>(938) 520-7457</x:v>
      </x:c>
      <x:c r="G180" t="str">
        <x:v>NC</x:v>
      </x:c>
      <x:c r="H180" t="str">
        <x:v>Email</x:v>
      </x:c>
      <x:c r="I180" t="str">
        <x:v>Qualified</x:v>
      </x:c>
      <x:c r="J180" t="str">
        <x:v>Jordan Lee</x:v>
      </x:c>
      <x:c r="K180" s="6" t="n">
        <x:v>46163</x:v>
      </x:c>
      <x:c r="L180" s="6" t="n">
        <x:v>46221</x:v>
      </x:c>
      <x:c r="M180" s="6" t="n">
        <x:v>46231</x:v>
      </x:c>
      <x:c r="N180" s="8" t="n">
        <x:v>37800</x:v>
      </x:c>
      <x:c r="O180" t="str">
        <x:v>Manufacturing</x:v>
      </x:c>
      <x:c r="P180" t="str">
        <x:v>Yes</x:v>
      </x:c>
      <x:c r="Q180" t="str">
        <x:v>No</x:v>
      </x:c>
      <x:c r="R180" s="6"/>
    </x:row>
    <x:row r="181">
      <x:c r="A181" t="str">
        <x:v>L-0180</x:v>
      </x:c>
      <x:c r="B181" t="str">
        <x:v>Evelyn</x:v>
      </x:c>
      <x:c r="C181" t="str">
        <x:v>Johnson</x:v>
      </x:c>
      <x:c r="D181" t="str">
        <x:v>Apex Manufacturing</x:v>
      </x:c>
      <x:c r="E181" t="str">
        <x:v>evelyn.johnson628@northmail.com</x:v>
      </x:c>
      <x:c r="F181" t="str">
        <x:v>907-729-3330</x:v>
      </x:c>
      <x:c r="G181" t="str">
        <x:v>NC</x:v>
      </x:c>
      <x:c r="H181" t="str">
        <x:v> Referal </x:v>
      </x:c>
      <x:c r="I181" t="str">
        <x:v>contacted</x:v>
      </x:c>
      <x:c r="J181" t="str">
        <x:v>Casey Patel</x:v>
      </x:c>
      <x:c r="K181" s="6" t="n">
        <x:v>46035</x:v>
      </x:c>
      <x:c r="L181" s="6" t="n">
        <x:v>46108</x:v>
      </x:c>
      <x:c r="M181" s="6" t="n">
        <x:v>46125</x:v>
      </x:c>
      <x:c r="N181" s="8" t="n">
        <x:v>16200</x:v>
      </x:c>
      <x:c r="O181" t="str">
        <x:v>Financial Services</x:v>
      </x:c>
      <x:c r="P181" t="str">
        <x:v>No</x:v>
      </x:c>
      <x:c r="Q181" t="str">
        <x:v>No</x:v>
      </x:c>
      <x:c r="R181" s="6"/>
    </x:row>
    <x:row r="182">
      <x:c r="A182" t="str">
        <x:v>L-0181</x:v>
      </x:c>
      <x:c r="B182" t="str">
        <x:v>mia</x:v>
      </x:c>
      <x:c r="C182" t="str">
        <x:v>Rodriguez</x:v>
      </x:c>
      <x:c r="D182" t="str">
        <x:v> Redstone Consulting </x:v>
      </x:c>
      <x:c r="E182" t="str">
        <x:v>mia.rodriguez725@mailhub.net</x:v>
      </x:c>
      <x:c r="F182" t="str">
        <x:v>(945) 723-3619</x:v>
      </x:c>
      <x:c r="G182" t="str">
        <x:v>PA</x:v>
      </x:c>
      <x:c r="H182" t="str">
        <x:v>LINKEDIN</x:v>
      </x:c>
      <x:c r="I182" t="str">
        <x:v>NEW</x:v>
      </x:c>
      <x:c r="J182" t="str">
        <x:v>Alex Kim</x:v>
      </x:c>
      <x:c r="K182" s="6" t="n">
        <x:v>46066</x:v>
      </x:c>
      <x:c r="L182" s="6" t="n">
        <x:v>46181</x:v>
      </x:c>
      <x:c r="M182" s="6" t="n">
        <x:v>46204</x:v>
      </x:c>
      <x:c r="N182" s="8" t="n">
        <x:v>32400</x:v>
      </x:c>
      <x:c r="O182" t="str">
        <x:v>Manufacturing</x:v>
      </x:c>
      <x:c r="P182" t="str">
        <x:v>No</x:v>
      </x:c>
      <x:c r="Q182" t="str">
        <x:v>No</x:v>
      </x:c>
      <x:c r="R182" s="6"/>
    </x:row>
    <x:row r="183">
      <x:c r="A183" t="str">
        <x:v>L-0182</x:v>
      </x:c>
      <x:c r="B183" t="str">
        <x:v>Harper</x:v>
      </x:c>
      <x:c r="C183" t="str">
        <x:v>Martinez</x:v>
      </x:c>
      <x:c r="D183" t="str">
        <x:v>CedarWorks</x:v>
      </x:c>
      <x:c r="E183" t="str">
        <x:v>ava.miller369@examplebiz.com</x:v>
      </x:c>
      <x:c r="F183" t="str">
        <x:v>(823) 705-4897</x:v>
      </x:c>
      <x:c r="G183" t="str">
        <x:v>CA</x:v>
      </x:c>
      <x:c r="H183" t="str">
        <x:v>Outbound</x:v>
      </x:c>
      <x:c r="I183" t="str">
        <x:v>NEW</x:v>
      </x:c>
      <x:c r="J183" t="str">
        <x:v>Morgan Reed</x:v>
      </x:c>
      <x:c r="K183" s="6" t="n">
        <x:v>46051</x:v>
      </x:c>
      <x:c r="L183" s="6" t="n">
        <x:v>46115</x:v>
      </x:c>
      <x:c r="M183" s="6" t="n">
        <x:v>46118</x:v>
      </x:c>
      <x:c r="N183" s="8" t="n">
        <x:v>40300</x:v>
      </x:c>
      <x:c r="O183" t="str">
        <x:v>Technology</x:v>
      </x:c>
      <x:c r="P183" t="str">
        <x:v>No</x:v>
      </x:c>
      <x:c r="Q183" t="str">
        <x:v>No</x:v>
      </x:c>
      <x:c r="R183" s="6"/>
    </x:row>
    <x:row r="184">
      <x:c r="A184" t="str">
        <x:v>L-0183</x:v>
      </x:c>
      <x:c r="B184" t="str">
        <x:v>Emma</x:v>
      </x:c>
      <x:c r="C184" t="str">
        <x:v>Johnson</x:v>
      </x:c>
      <x:c r="D184" t="str">
        <x:v>Evergreen Services</x:v>
      </x:c>
      <x:c r="E184" t="str">
        <x:v>emma.johnson709@examplebiz.com</x:v>
      </x:c>
      <x:c r="F184" t="str">
        <x:v>(667) 967-6901</x:v>
      </x:c>
      <x:c r="G184" t="str">
        <x:v>TX</x:v>
      </x:c>
      <x:c r="H184" t="str">
        <x:v>WEB</x:v>
      </x:c>
      <x:c r="I184" t="str">
        <x:v>CONTACTED</x:v>
      </x:c>
      <x:c r="J184" t="str">
        <x:v>Jamie Brooks</x:v>
      </x:c>
      <x:c r="K184" s="6" t="n">
        <x:v>46201</x:v>
      </x:c>
      <x:c r="L184" s="6" t="n">
        <x:v>46211</x:v>
      </x:c>
      <x:c r="M184" s="6" t="n">
        <x:v>46235</x:v>
      </x:c>
      <x:c r="N184" s="8" t="n">
        <x:v>26000</x:v>
      </x:c>
      <x:c r="O184" t="str">
        <x:v>Biotech</x:v>
      </x:c>
      <x:c r="P184" t="str">
        <x:v>No</x:v>
      </x:c>
      <x:c r="Q184" t="str">
        <x:v>No</x:v>
      </x:c>
      <x:c r="R184" s="6"/>
    </x:row>
    <x:row r="185">
      <x:c r="A185" t="str">
        <x:v>L-0184</x:v>
      </x:c>
      <x:c r="B185" t="str">
        <x:v>Evelyn</x:v>
      </x:c>
      <x:c r="C185" t="str">
        <x:v> Miller </x:v>
      </x:c>
      <x:c r="D185" t="str">
        <x:v>Apex Manufacturing</x:v>
      </x:c>
      <x:c r="E185" t="str">
        <x:v>evelyn.miller620@prospect.co</x:v>
      </x:c>
      <x:c r="F185" t="str">
        <x:v>(638) 823-6185</x:v>
      </x:c>
      <x:c r="G185" t="str">
        <x:v>TX</x:v>
      </x:c>
      <x:c r="H185" t="str">
        <x:v>Trade Show</x:v>
      </x:c>
      <x:c r="I185" t="str">
        <x:v>Closed Lost</x:v>
      </x:c>
      <x:c r="J185" t="str">
        <x:v>JAMIE BROOKS</x:v>
      </x:c>
      <x:c r="K185" s="6" t="n">
        <x:v>46111</x:v>
      </x:c>
      <x:c r="L185" s="6" t="n">
        <x:v>46133</x:v>
      </x:c>
      <x:c r="M185" s="6"/>
      <x:c r="N185" s="8" t="n">
        <x:v>42400</x:v>
      </x:c>
      <x:c r="O185" t="str">
        <x:v>Healthcare</x:v>
      </x:c>
      <x:c r="P185" t="str">
        <x:v>Yes</x:v>
      </x:c>
      <x:c r="Q185" t="str">
        <x:v>No</x:v>
      </x:c>
      <x:c r="R185" s="6" t="n">
        <x:v>46140</x:v>
      </x:c>
    </x:row>
    <x:row r="186">
      <x:c r="A186" t="str">
        <x:v>L-0185</x:v>
      </x:c>
      <x:c r="B186" t="str">
        <x:v>Noah</x:v>
      </x:c>
      <x:c r="C186" t="str">
        <x:v>MILLER</x:v>
      </x:c>
      <x:c r="D186" t="str">
        <x:v> Vertex Solutions </x:v>
      </x:c>
      <x:c r="E186" t="str"/>
      <x:c r="F186" t="str">
        <x:v>(270) 515-5919</x:v>
      </x:c>
      <x:c r="G186" t="str">
        <x:v>CO</x:v>
      </x:c>
      <x:c r="H186" t="str">
        <x:v>REFERRAL</x:v>
      </x:c>
      <x:c r="I186" t="str">
        <x:v>Qual</x:v>
      </x:c>
      <x:c r="J186" t="str">
        <x:v>Jamie Brooks</x:v>
      </x:c>
      <x:c r="K186" s="6" t="n">
        <x:v>46083</x:v>
      </x:c>
      <x:c r="L186" s="6" t="n">
        <x:v>46137</x:v>
      </x:c>
      <x:c r="M186" s="6" t="n">
        <x:v>46140</x:v>
      </x:c>
      <x:c r="N186" s="8" t="n">
        <x:v>55400</x:v>
      </x:c>
      <x:c r="O186" t="str">
        <x:v>Professional Services</x:v>
      </x:c>
      <x:c r="P186" t="str">
        <x:v>Yes</x:v>
      </x:c>
      <x:c r="Q186" t="str">
        <x:v>No</x:v>
      </x:c>
      <x:c r="R186" s="6"/>
    </x:row>
    <x:row r="187">
      <x:c r="A187" t="str">
        <x:v>L-0186</x:v>
      </x:c>
      <x:c r="B187" t="str">
        <x:v>Liam</x:v>
      </x:c>
      <x:c r="C187" t="str">
        <x:v>Jones</x:v>
      </x:c>
      <x:c r="D187" t="str">
        <x:v>ATLAS COMMERCE</x:v>
      </x:c>
      <x:c r="E187" t="str">
        <x:v>liam.jones951@northmail.com</x:v>
      </x:c>
      <x:c r="F187" t="str">
        <x:v>(734) 506-6169</x:v>
      </x:c>
      <x:c r="G187" t="str">
        <x:v>OH</x:v>
      </x:c>
      <x:c r="H187" t="str">
        <x:v>Webinar</x:v>
      </x:c>
      <x:c r="I187" t="str">
        <x:v>Closed-Won</x:v>
      </x:c>
      <x:c r="J187" t="str"/>
      <x:c r="K187" s="6" t="n">
        <x:v>46161</x:v>
      </x:c>
      <x:c r="L187" s="6" t="n">
        <x:v>46220</x:v>
      </x:c>
      <x:c r="M187" s="6"/>
      <x:c r="N187" s="8" t="n">
        <x:v>67200</x:v>
      </x:c>
      <x:c r="O187" t="str">
        <x:v>Manufacturing</x:v>
      </x:c>
      <x:c r="P187" t="str">
        <x:v>Yes</x:v>
      </x:c>
      <x:c r="Q187" t="str">
        <x:v>Yes</x:v>
      </x:c>
      <x:c r="R187" s="6" t="n">
        <x:v>46221</x:v>
      </x:c>
    </x:row>
    <x:row r="188">
      <x:c r="A188" t="str">
        <x:v>L-0187</x:v>
      </x:c>
      <x:c r="B188" t="str">
        <x:v>ETHAN</x:v>
      </x:c>
      <x:c r="C188" t="str">
        <x:v>Thompson</x:v>
      </x:c>
      <x:c r="D188" t="str">
        <x:v>Summit Analytics</x:v>
      </x:c>
      <x:c r="E188" t="str">
        <x:v>ethan.thompson381@mailhub.net</x:v>
      </x:c>
      <x:c r="F188" t="str">
        <x:v>(510) 421-9603</x:v>
      </x:c>
      <x:c r="G188" t="str">
        <x:v>PA</x:v>
      </x:c>
      <x:c r="H188" t="str">
        <x:v>EMAIL</x:v>
      </x:c>
      <x:c r="I188" t="str">
        <x:v>opportunity</x:v>
      </x:c>
      <x:c r="J188" t="str">
        <x:v>taylor morgan</x:v>
      </x:c>
      <x:c r="K188" s="6" t="n">
        <x:v>46177</x:v>
      </x:c>
      <x:c r="L188" s="6" t="n">
        <x:v>46229</x:v>
      </x:c>
      <x:c r="M188" s="6" t="n">
        <x:v>46234</x:v>
      </x:c>
      <x:c r="N188" s="8" t="n">
        <x:v>43500</x:v>
      </x:c>
      <x:c r="O188" t="str">
        <x:v>Financial Services</x:v>
      </x:c>
      <x:c r="P188" t="str">
        <x:v>Yes</x:v>
      </x:c>
      <x:c r="Q188" t="str">
        <x:v>No</x:v>
      </x:c>
      <x:c r="R188" s="6"/>
    </x:row>
    <x:row r="189">
      <x:c r="A189" t="str">
        <x:v>L-0188</x:v>
      </x:c>
      <x:c r="B189" t="str">
        <x:v> Noah </x:v>
      </x:c>
      <x:c r="C189" t="str">
        <x:v> Martin </x:v>
      </x:c>
      <x:c r="D189" t="str">
        <x:v>Blue Ridge Supply</x:v>
      </x:c>
      <x:c r="E189" t="str">
        <x:v>noah.martin704@northmail.com</x:v>
      </x:c>
      <x:c r="F189" t="str"/>
      <x:c r="G189" t="str">
        <x:v>PA</x:v>
      </x:c>
      <x:c r="H189" t="str">
        <x:v>Website</x:v>
      </x:c>
      <x:c r="I189" t="str">
        <x:v>CONTACTED</x:v>
      </x:c>
      <x:c r="J189" t="str">
        <x:v>jordan lee</x:v>
      </x:c>
      <x:c r="K189" s="6" t="n">
        <x:v>46113</x:v>
      </x:c>
      <x:c r="L189" s="6" t="n">
        <x:v>46142</x:v>
      </x:c>
      <x:c r="M189" s="6" t="n">
        <x:v>46145</x:v>
      </x:c>
      <x:c r="N189" s="8" t="n">
        <x:v>28200</x:v>
      </x:c>
      <x:c r="O189" t="str">
        <x:v>Retail</x:v>
      </x:c>
      <x:c r="P189" t="str">
        <x:v>No</x:v>
      </x:c>
      <x:c r="Q189" t="str">
        <x:v>No</x:v>
      </x:c>
      <x:c r="R189" s="6"/>
    </x:row>
    <x:row r="190">
      <x:c r="A190" t="str">
        <x:v>L-0189</x:v>
      </x:c>
      <x:c r="B190" t="str">
        <x:v>sophia</x:v>
      </x:c>
      <x:c r="C190" t="str">
        <x:v>Brown</x:v>
      </x:c>
      <x:c r="D190" t="str">
        <x:v>Northstar Labs</x:v>
      </x:c>
      <x:c r="E190" t="str"/>
      <x:c r="F190" t="str">
        <x:v>(273) 518-6549</x:v>
      </x:c>
      <x:c r="G190" t="str">
        <x:v>FL</x:v>
      </x:c>
      <x:c r="H190" t="str">
        <x:v>TRADE SHOW</x:v>
      </x:c>
      <x:c r="I190" t="str">
        <x:v>QUALIFIED</x:v>
      </x:c>
      <x:c r="J190" t="str"/>
      <x:c r="K190" s="6" t="n">
        <x:v>46177</x:v>
      </x:c>
      <x:c r="L190" s="6" t="n">
        <x:v>46195</x:v>
      </x:c>
      <x:c r="M190" s="6" t="n">
        <x:v>46220</x:v>
      </x:c>
      <x:c r="N190" s="8" t="n">
        <x:v>68800</x:v>
      </x:c>
      <x:c r="O190" t="str">
        <x:v>Technology</x:v>
      </x:c>
      <x:c r="P190" t="str">
        <x:v>Yes</x:v>
      </x:c>
      <x:c r="Q190" t="str">
        <x:v>No</x:v>
      </x:c>
      <x:c r="R190" s="6"/>
    </x:row>
    <x:row r="191">
      <x:c r="A191" t="str">
        <x:v>L-0190</x:v>
      </x:c>
      <x:c r="B191" t="str">
        <x:v>Lucas</x:v>
      </x:c>
      <x:c r="C191" t="str">
        <x:v>Wilson</x:v>
      </x:c>
      <x:c r="D191" t="str">
        <x:v>Apex Manufacturing</x:v>
      </x:c>
      <x:c r="E191" t="str">
        <x:v>lucas.wilson701@mailhub.net</x:v>
      </x:c>
      <x:c r="F191" t="str">
        <x:v>682-437-4666</x:v>
      </x:c>
      <x:c r="G191" t="str">
        <x:v>NC</x:v>
      </x:c>
      <x:c r="H191" t="str">
        <x:v>Trade Show</x:v>
      </x:c>
      <x:c r="I191" t="str">
        <x:v>new</x:v>
      </x:c>
      <x:c r="J191" t="str">
        <x:v>Casey Patel</x:v>
      </x:c>
      <x:c r="K191" s="6" t="n">
        <x:v>46041</x:v>
      </x:c>
      <x:c r="L191" s="6" t="n">
        <x:v>46219</x:v>
      </x:c>
      <x:c r="M191" s="6" t="n">
        <x:v>46236</x:v>
      </x:c>
      <x:c r="N191" s="8" t="n">
        <x:v>10500</x:v>
      </x:c>
      <x:c r="O191" t="str">
        <x:v>Technology</x:v>
      </x:c>
      <x:c r="P191" t="str">
        <x:v>No</x:v>
      </x:c>
      <x:c r="Q191" t="str">
        <x:v>No</x:v>
      </x:c>
      <x:c r="R191" s="6"/>
    </x:row>
    <x:row r="192">
      <x:c r="A192" t="str">
        <x:v>L-0191</x:v>
      </x:c>
      <x:c r="B192" t="str">
        <x:v>Ethan</x:v>
      </x:c>
      <x:c r="C192" t="str">
        <x:v>Martinez</x:v>
      </x:c>
      <x:c r="D192" t="str">
        <x:v>Pioneer Tech</x:v>
      </x:c>
      <x:c r="E192" t="str">
        <x:v>ethan.martinez73@prospect.co</x:v>
      </x:c>
      <x:c r="F192" t="str">
        <x:v>(746) 672-7566</x:v>
      </x:c>
      <x:c r="G192" t="str">
        <x:v>GA</x:v>
      </x:c>
      <x:c r="H192" t="str">
        <x:v>website</x:v>
      </x:c>
      <x:c r="I192" t="str">
        <x:v>closed won</x:v>
      </x:c>
      <x:c r="J192" t="str">
        <x:v>Jamie Brooks</x:v>
      </x:c>
      <x:c r="K192" s="6" t="n">
        <x:v>46043</x:v>
      </x:c>
      <x:c r="L192" s="6" t="n">
        <x:v>46070</x:v>
      </x:c>
      <x:c r="M192" s="6"/>
      <x:c r="N192" s="8" t="n">
        <x:v>29400</x:v>
      </x:c>
      <x:c r="O192" t="str">
        <x:v>Manufacturing</x:v>
      </x:c>
      <x:c r="P192" t="str">
        <x:v>Yes</x:v>
      </x:c>
      <x:c r="Q192" t="str">
        <x:v>Yes</x:v>
      </x:c>
      <x:c r="R192" s="6" t="n">
        <x:v>46073</x:v>
      </x:c>
    </x:row>
    <x:row r="193">
      <x:c r="A193" t="str">
        <x:v>L-0192</x:v>
      </x:c>
      <x:c r="B193" t="str">
        <x:v>Mia</x:v>
      </x:c>
      <x:c r="C193" t="str">
        <x:v>Perez</x:v>
      </x:c>
      <x:c r="D193" t="str">
        <x:v>Atlas Commerce</x:v>
      </x:c>
      <x:c r="E193" t="str">
        <x:v>mia.perez72@northmail.com</x:v>
      </x:c>
      <x:c r="F193" t="str">
        <x:v>(902) 810-7208</x:v>
      </x:c>
      <x:c r="G193" t="str">
        <x:v>WA</x:v>
      </x:c>
      <x:c r="H193" t="str">
        <x:v>trade show</x:v>
      </x:c>
      <x:c r="I193" t="str">
        <x:v>Contact</x:v>
      </x:c>
      <x:c r="J193" t="str">
        <x:v>Morgan Reed</x:v>
      </x:c>
      <x:c r="K193" s="6" t="n">
        <x:v>46222</x:v>
      </x:c>
      <x:c r="L193" s="6" t="n">
        <x:v>46248</x:v>
      </x:c>
      <x:c r="M193" s="6" t="n">
        <x:v>46265</x:v>
      </x:c>
      <x:c r="N193" s="8" t="n">
        <x:v>17000</x:v>
      </x:c>
      <x:c r="O193" t="str">
        <x:v>Technology</x:v>
      </x:c>
      <x:c r="P193" t="str">
        <x:v>No</x:v>
      </x:c>
      <x:c r="Q193" t="str">
        <x:v>No</x:v>
      </x:c>
      <x:c r="R193" s="6"/>
    </x:row>
    <x:row r="194">
      <x:c r="A194" t="str">
        <x:v>L-0193</x:v>
      </x:c>
      <x:c r="B194" t="str">
        <x:v>harper</x:v>
      </x:c>
      <x:c r="C194" t="str">
        <x:v>Miller</x:v>
      </x:c>
      <x:c r="D194" t="str">
        <x:v>APEX MANUFACTURING</x:v>
      </x:c>
      <x:c r="E194" t="str">
        <x:v>olivia.davis981@northmail.com</x:v>
      </x:c>
      <x:c r="F194" t="str">
        <x:v>(827) 722-7622</x:v>
      </x:c>
      <x:c r="G194" t="str">
        <x:v>NY</x:v>
      </x:c>
      <x:c r="H194" t="str">
        <x:v>trade show</x:v>
      </x:c>
      <x:c r="I194" t="str">
        <x:v>Closed-Lost</x:v>
      </x:c>
      <x:c r="J194" t="str">
        <x:v>Casey Patel</x:v>
      </x:c>
      <x:c r="K194" s="6" t="n">
        <x:v>46169</x:v>
      </x:c>
      <x:c r="L194" s="6" t="n">
        <x:v>46224</x:v>
      </x:c>
      <x:c r="M194" s="6"/>
      <x:c r="N194" s="8" t="n">
        <x:v>61700</x:v>
      </x:c>
      <x:c r="O194" t="str">
        <x:v>Biotech</x:v>
      </x:c>
      <x:c r="P194" t="str">
        <x:v>Yes</x:v>
      </x:c>
      <x:c r="Q194" t="str">
        <x:v>No</x:v>
      </x:c>
      <x:c r="R194" s="6" t="n">
        <x:v>46229</x:v>
      </x:c>
    </x:row>
    <x:row r="195">
      <x:c r="A195" t="str">
        <x:v>L-0194</x:v>
      </x:c>
      <x:c r="B195" t="str">
        <x:v>James</x:v>
      </x:c>
      <x:c r="C195" t="str">
        <x:v>Lee</x:v>
      </x:c>
      <x:c r="D195" t="str">
        <x:v>Apex Manufacturing</x:v>
      </x:c>
      <x:c r="E195" t="str">
        <x:v>james.lee129@examplebiz.com</x:v>
      </x:c>
      <x:c r="F195" t="str">
        <x:v>(212) 273-1257</x:v>
      </x:c>
      <x:c r="G195" t="str">
        <x:v>NC</x:v>
      </x:c>
      <x:c r="H195" t="str">
        <x:v>website</x:v>
      </x:c>
      <x:c r="I195" t="str">
        <x:v>Qual</x:v>
      </x:c>
      <x:c r="J195" t="str">
        <x:v>Jamie Brooks</x:v>
      </x:c>
      <x:c r="K195" s="6" t="n">
        <x:v>46031</x:v>
      </x:c>
      <x:c r="L195" s="6" t="n">
        <x:v>46123</x:v>
      </x:c>
      <x:c r="M195" s="6" t="n">
        <x:v>46139</x:v>
      </x:c>
      <x:c r="N195" s="8" t="n">
        <x:v>15200</x:v>
      </x:c>
      <x:c r="O195" t="str">
        <x:v>Manufacturing</x:v>
      </x:c>
      <x:c r="P195" t="str">
        <x:v>Yes</x:v>
      </x:c>
      <x:c r="Q195" t="str">
        <x:v>No</x:v>
      </x:c>
      <x:c r="R195" s="6"/>
    </x:row>
    <x:row r="196">
      <x:c r="A196" t="str">
        <x:v>L-0195</x:v>
      </x:c>
      <x:c r="B196" t="str">
        <x:v>Elijah</x:v>
      </x:c>
      <x:c r="C196" t="str">
        <x:v>Moore</x:v>
      </x:c>
      <x:c r="D196" t="str">
        <x:v>Silverline Foods</x:v>
      </x:c>
      <x:c r="E196" t="str">
        <x:v>elijah.moore421@prospect.co</x:v>
      </x:c>
      <x:c r="F196" t="str">
        <x:v>235-238-8917</x:v>
      </x:c>
      <x:c r="G196" t="str">
        <x:v>FL</x:v>
      </x:c>
      <x:c r="H196" t="str">
        <x:v>Website</x:v>
      </x:c>
      <x:c r="I196" t="str">
        <x:v>Opportunity</x:v>
      </x:c>
      <x:c r="J196" t="str">
        <x:v>Casey Patel</x:v>
      </x:c>
      <x:c r="K196" s="6" t="n">
        <x:v>46099</x:v>
      </x:c>
      <x:c r="L196" s="6" t="n">
        <x:v>46226</x:v>
      </x:c>
      <x:c r="M196" s="6" t="n">
        <x:v>46236</x:v>
      </x:c>
      <x:c r="N196" s="8" t="n">
        <x:v>61300</x:v>
      </x:c>
      <x:c r="O196" t="str">
        <x:v>Biotech</x:v>
      </x:c>
      <x:c r="P196" t="str">
        <x:v>Yes</x:v>
      </x:c>
      <x:c r="Q196" t="str">
        <x:v>No</x:v>
      </x:c>
      <x:c r="R196" s="6"/>
    </x:row>
    <x:row r="197">
      <x:c r="A197" t="str">
        <x:v>L-0196</x:v>
      </x:c>
      <x:c r="B197" t="str">
        <x:v>Mia</x:v>
      </x:c>
      <x:c r="C197" t="str">
        <x:v> Lee </x:v>
      </x:c>
      <x:c r="D197" t="str"/>
      <x:c r="E197" t="str">
        <x:v> mia.lee432@prospect.co </x:v>
      </x:c>
      <x:c r="F197" t="str">
        <x:v>(502) 496-3744</x:v>
      </x:c>
      <x:c r="G197" t="str">
        <x:v>IL</x:v>
      </x:c>
      <x:c r="H197" t="str">
        <x:v>WEBINAR</x:v>
      </x:c>
      <x:c r="I197" t="str">
        <x:v>NEW</x:v>
      </x:c>
      <x:c r="J197" t="str">
        <x:v>CASEY PATEL</x:v>
      </x:c>
      <x:c r="K197" s="6" t="n">
        <x:v>46130</x:v>
      </x:c>
      <x:c r="L197" s="6" t="n">
        <x:v>46195</x:v>
      </x:c>
      <x:c r="M197" s="6" t="n">
        <x:v>46213</x:v>
      </x:c>
      <x:c r="N197" s="8" t="n">
        <x:v>49900</x:v>
      </x:c>
      <x:c r="O197" t="str">
        <x:v>Healthcare</x:v>
      </x:c>
      <x:c r="P197" t="str">
        <x:v>No</x:v>
      </x:c>
      <x:c r="Q197" t="str">
        <x:v>No</x:v>
      </x:c>
      <x:c r="R197" s="6"/>
    </x:row>
    <x:row r="198">
      <x:c r="A198" t="str">
        <x:v>L-0197</x:v>
      </x:c>
      <x:c r="B198" t="str">
        <x:v>Benjamin</x:v>
      </x:c>
      <x:c r="C198" t="str">
        <x:v>williams</x:v>
      </x:c>
      <x:c r="D198" t="str">
        <x:v>blue ridge supply</x:v>
      </x:c>
      <x:c r="E198" t="str">
        <x:v>benjamin.williams179@examplebiz.com</x:v>
      </x:c>
      <x:c r="F198" t="str">
        <x:v>(875) 657-7058</x:v>
      </x:c>
      <x:c r="G198" t="str">
        <x:v>NY</x:v>
      </x:c>
      <x:c r="H198" t="str">
        <x:v> Referal </x:v>
      </x:c>
      <x:c r="I198" t="str">
        <x:v>opportunity</x:v>
      </x:c>
      <x:c r="J198" t="str">
        <x:v>Alex Kim</x:v>
      </x:c>
      <x:c r="K198" s="6" t="n">
        <x:v>46176</x:v>
      </x:c>
      <x:c r="L198" s="6" t="n">
        <x:v>46208</x:v>
      </x:c>
      <x:c r="M198" s="6" t="n">
        <x:v>46211</x:v>
      </x:c>
      <x:c r="N198" s="8" t="n">
        <x:v>63700</x:v>
      </x:c>
      <x:c r="O198" t="str">
        <x:v>Technology</x:v>
      </x:c>
      <x:c r="P198" t="str">
        <x:v>Yes</x:v>
      </x:c>
      <x:c r="Q198" t="str">
        <x:v>No</x:v>
      </x:c>
      <x:c r="R198" s="6"/>
    </x:row>
    <x:row r="199">
      <x:c r="A199" t="str">
        <x:v>L-0198</x:v>
      </x:c>
      <x:c r="B199" t="str">
        <x:v>Mason</x:v>
      </x:c>
      <x:c r="C199" t="str">
        <x:v>Moore</x:v>
      </x:c>
      <x:c r="D199" t="str">
        <x:v>CedarWorks</x:v>
      </x:c>
      <x:c r="E199" t="str">
        <x:v>mason.moore409@mailhub.net</x:v>
      </x:c>
      <x:c r="F199" t="str">
        <x:v>(509) 687-9724</x:v>
      </x:c>
      <x:c r="G199" t="str">
        <x:v>WA</x:v>
      </x:c>
      <x:c r="H199" t="str">
        <x:v>LinkedIn</x:v>
      </x:c>
      <x:c r="I199" t="str">
        <x:v>Contacted</x:v>
      </x:c>
      <x:c r="J199" t="str">
        <x:v>Morgan Reed</x:v>
      </x:c>
      <x:c r="K199" s="6" t="n">
        <x:v>46082</x:v>
      </x:c>
      <x:c r="L199" s="6" t="n">
        <x:v>46149</x:v>
      </x:c>
      <x:c r="M199" s="6" t="n">
        <x:v>46155</x:v>
      </x:c>
      <x:c r="N199" s="8" t="n">
        <x:v>6800</x:v>
      </x:c>
      <x:c r="O199" t="str">
        <x:v>Retail</x:v>
      </x:c>
      <x:c r="P199" t="str">
        <x:v>No</x:v>
      </x:c>
      <x:c r="Q199" t="str">
        <x:v>No</x:v>
      </x:c>
      <x:c r="R199" s="6"/>
    </x:row>
    <x:row r="200">
      <x:c r="A200" t="str">
        <x:v>L-0199</x:v>
      </x:c>
      <x:c r="B200" t="str">
        <x:v>LOGAN</x:v>
      </x:c>
      <x:c r="C200" t="str">
        <x:v>taylor</x:v>
      </x:c>
      <x:c r="D200" t="str">
        <x:v>horizon bio</x:v>
      </x:c>
      <x:c r="E200" t="str">
        <x:v>mia.jones426@northmail.com</x:v>
      </x:c>
      <x:c r="F200" t="str"/>
      <x:c r="G200" t="str">
        <x:v>NY</x:v>
      </x:c>
      <x:c r="H200" t="str">
        <x:v>REFERRAL</x:v>
      </x:c>
      <x:c r="I200" t="str">
        <x:v>new</x:v>
      </x:c>
      <x:c r="J200" t="str">
        <x:v> Jamie Brooks </x:v>
      </x:c>
      <x:c r="K200" s="6" t="n">
        <x:v>46079</x:v>
      </x:c>
      <x:c r="L200" s="6" t="n">
        <x:v>46228</x:v>
      </x:c>
      <x:c r="M200" s="6" t="n">
        <x:v>46243</x:v>
      </x:c>
      <x:c r="N200" s="8" t="n">
        <x:v>40500</x:v>
      </x:c>
      <x:c r="O200" t="str">
        <x:v>Biotech</x:v>
      </x:c>
      <x:c r="P200" t="str">
        <x:v>No</x:v>
      </x:c>
      <x:c r="Q200" t="str">
        <x:v>No</x:v>
      </x:c>
      <x:c r="R200" s="6"/>
    </x:row>
    <x:row r="201">
      <x:c r="A201" t="str">
        <x:v>L-0200</x:v>
      </x:c>
      <x:c r="B201" t="str">
        <x:v>Ava</x:v>
      </x:c>
      <x:c r="C201" t="str">
        <x:v>Thompson</x:v>
      </x:c>
      <x:c r="D201" t="str">
        <x:v>BrightPath Health</x:v>
      </x:c>
      <x:c r="E201" t="str">
        <x:v>ava.thompson89@examplebiz.com</x:v>
      </x:c>
      <x:c r="F201" t="str">
        <x:v>(585) 872-4027</x:v>
      </x:c>
      <x:c r="G201" t="str">
        <x:v>WA</x:v>
      </x:c>
      <x:c r="H201" t="str">
        <x:v>LinkedIn</x:v>
      </x:c>
      <x:c r="I201" t="str">
        <x:v>WON</x:v>
      </x:c>
      <x:c r="J201" t="str">
        <x:v>Jordan Lee</x:v>
      </x:c>
      <x:c r="K201" s="6" t="n">
        <x:v>46093</x:v>
      </x:c>
      <x:c r="L201" s="6" t="n">
        <x:v>46124</x:v>
      </x:c>
      <x:c r="M201" s="6"/>
      <x:c r="N201" s="8" t="n">
        <x:v>60900</x:v>
      </x:c>
      <x:c r="O201" t="str">
        <x:v>Healthcare</x:v>
      </x:c>
      <x:c r="P201" t="str">
        <x:v>Yes</x:v>
      </x:c>
      <x:c r="Q201" t="str">
        <x:v>Yes</x:v>
      </x:c>
      <x:c r="R201" s="6" t="n">
        <x:v>46128</x:v>
      </x:c>
    </x:row>
    <x:row r="202">
      <x:c r="A202" t="str">
        <x:v>L-0201</x:v>
      </x:c>
      <x:c r="B202" t="str">
        <x:v>Amelia</x:v>
      </x:c>
      <x:c r="C202" t="str">
        <x:v>THOMAS</x:v>
      </x:c>
      <x:c r="D202" t="str">
        <x:v>REDSTONE CONSULTING</x:v>
      </x:c>
      <x:c r="E202" t="str">
        <x:v>amelia.thomas625@mailhub.net</x:v>
      </x:c>
      <x:c r="F202" t="str">
        <x:v>(383) 860-9061</x:v>
      </x:c>
      <x:c r="G202" t="str">
        <x:v>NY</x:v>
      </x:c>
      <x:c r="H202" t="str">
        <x:v>Outbound</x:v>
      </x:c>
      <x:c r="I202" t="str">
        <x:v>Contact</x:v>
      </x:c>
      <x:c r="J202" t="str">
        <x:v>taylor morgan</x:v>
      </x:c>
      <x:c r="K202" s="6" t="n">
        <x:v>46134</x:v>
      </x:c>
      <x:c r="L202" s="6" t="n">
        <x:v>46142</x:v>
      </x:c>
      <x:c r="M202" s="6" t="n">
        <x:v>46160</x:v>
      </x:c>
      <x:c r="N202" s="8" t="n">
        <x:v>83300</x:v>
      </x:c>
      <x:c r="O202" t="str">
        <x:v>Healthcare</x:v>
      </x:c>
      <x:c r="P202" t="str">
        <x:v>No</x:v>
      </x:c>
      <x:c r="Q202" t="str">
        <x:v>No</x:v>
      </x:c>
      <x:c r="R202" s="6"/>
    </x:row>
    <x:row r="203">
      <x:c r="A203" t="str">
        <x:v>L-0202</x:v>
      </x:c>
      <x:c r="B203" t="str">
        <x:v>Ava</x:v>
      </x:c>
      <x:c r="C203" t="str">
        <x:v>Johnson</x:v>
      </x:c>
      <x:c r="D203" t="str">
        <x:v>SILVERLINE FOODS</x:v>
      </x:c>
      <x:c r="E203" t="str">
        <x:v>ava.johnson490@mailhub.net</x:v>
      </x:c>
      <x:c r="F203" t="str">
        <x:v>(614) 945-2148</x:v>
      </x:c>
      <x:c r="G203" t="str">
        <x:v>CA</x:v>
      </x:c>
      <x:c r="H203" t="str">
        <x:v>LINKEDIN</x:v>
      </x:c>
      <x:c r="I203" t="str">
        <x:v>LOST</x:v>
      </x:c>
      <x:c r="J203" t="str"/>
      <x:c r="K203" s="6" t="n">
        <x:v>46099</x:v>
      </x:c>
      <x:c r="L203" s="6" t="n">
        <x:v>46099</x:v>
      </x:c>
      <x:c r="M203" s="6"/>
      <x:c r="N203" s="8" t="n">
        <x:v>45000</x:v>
      </x:c>
      <x:c r="O203" t="str">
        <x:v>Financial Services</x:v>
      </x:c>
      <x:c r="P203" t="str">
        <x:v>Yes</x:v>
      </x:c>
      <x:c r="Q203" t="str">
        <x:v>No</x:v>
      </x:c>
      <x:c r="R203" s="6" t="n">
        <x:v>46104</x:v>
      </x:c>
    </x:row>
    <x:row r="204">
      <x:c r="A204" t="str">
        <x:v>L-0203</x:v>
      </x:c>
      <x:c r="B204" t="str">
        <x:v>Mia</x:v>
      </x:c>
      <x:c r="C204" t="str">
        <x:v>MOORE</x:v>
      </x:c>
      <x:c r="D204" t="str">
        <x:v>Evergreen Services</x:v>
      </x:c>
      <x:c r="E204" t="str">
        <x:v>emma.johnson998@examplebiz.com</x:v>
      </x:c>
      <x:c r="F204" t="str">
        <x:v>(846) 905-6886</x:v>
      </x:c>
      <x:c r="G204" t="str">
        <x:v>CA</x:v>
      </x:c>
      <x:c r="H204" t="str">
        <x:v>TRADE SHOW</x:v>
      </x:c>
      <x:c r="I204" t="str">
        <x:v>Closed Lost</x:v>
      </x:c>
      <x:c r="J204" t="str">
        <x:v>MORGAN REED</x:v>
      </x:c>
      <x:c r="K204" s="6" t="n">
        <x:v>46077</x:v>
      </x:c>
      <x:c r="L204" s="6" t="n">
        <x:v>46125</x:v>
      </x:c>
      <x:c r="M204" s="6"/>
      <x:c r="N204" s="8" t="n">
        <x:v>27200</x:v>
      </x:c>
      <x:c r="O204" t="str">
        <x:v>Retail</x:v>
      </x:c>
      <x:c r="P204" t="str">
        <x:v>Yes</x:v>
      </x:c>
      <x:c r="Q204" t="str">
        <x:v>No</x:v>
      </x:c>
      <x:c r="R204" s="6" t="n">
        <x:v>46128</x:v>
      </x:c>
    </x:row>
    <x:row r="205">
      <x:c r="A205" t="str">
        <x:v>L-0204</x:v>
      </x:c>
      <x:c r="B205" t="str">
        <x:v>LIAM</x:v>
      </x:c>
      <x:c r="C205" t="str">
        <x:v>Wilson</x:v>
      </x:c>
      <x:c r="D205" t="str">
        <x:v>Peakline Systems</x:v>
      </x:c>
      <x:c r="E205" t="str">
        <x:v>liam.wilson153@examplebiz.com</x:v>
      </x:c>
      <x:c r="F205" t="str">
        <x:v>(274) 237-3319</x:v>
      </x:c>
      <x:c r="G205" t="str">
        <x:v>TX</x:v>
      </x:c>
      <x:c r="H205" t="str">
        <x:v>website</x:v>
      </x:c>
      <x:c r="I205" t="str">
        <x:v>OPP</x:v>
      </x:c>
      <x:c r="J205" t="str"/>
      <x:c r="K205" s="6" t="n">
        <x:v>46113</x:v>
      </x:c>
      <x:c r="L205" s="6" t="n">
        <x:v>46230</x:v>
      </x:c>
      <x:c r="M205" s="6" t="n">
        <x:v>46254</x:v>
      </x:c>
      <x:c r="N205" s="8" t="n">
        <x:v>74300</x:v>
      </x:c>
      <x:c r="O205" t="str">
        <x:v>Professional Services</x:v>
      </x:c>
      <x:c r="P205" t="str">
        <x:v>Yes</x:v>
      </x:c>
      <x:c r="Q205" t="str">
        <x:v>No</x:v>
      </x:c>
      <x:c r="R205" s="6"/>
    </x:row>
    <x:row r="206">
      <x:c r="A206" t="str">
        <x:v>L-0205</x:v>
      </x:c>
      <x:c r="B206" t="str">
        <x:v>mia</x:v>
      </x:c>
      <x:c r="C206" t="str">
        <x:v>brown</x:v>
      </x:c>
      <x:c r="D206" t="str">
        <x:v>Summit Analytics</x:v>
      </x:c>
      <x:c r="E206" t="str">
        <x:v>mia.brown695@mailhub.net</x:v>
      </x:c>
      <x:c r="F206" t="str">
        <x:v>(533) 323-9943</x:v>
      </x:c>
      <x:c r="G206" t="str">
        <x:v>WA</x:v>
      </x:c>
      <x:c r="H206" t="str">
        <x:v>Email</x:v>
      </x:c>
      <x:c r="I206" t="str">
        <x:v>contacted</x:v>
      </x:c>
      <x:c r="J206" t="str">
        <x:v>Jamie Brooks</x:v>
      </x:c>
      <x:c r="K206" s="6" t="n">
        <x:v>46041</x:v>
      </x:c>
      <x:c r="L206" s="6" t="n">
        <x:v>46092</x:v>
      </x:c>
      <x:c r="M206" s="6" t="n">
        <x:v>46108</x:v>
      </x:c>
      <x:c r="N206" s="8" t="n">
        <x:v>30300</x:v>
      </x:c>
      <x:c r="O206" t="str">
        <x:v>Logistics</x:v>
      </x:c>
      <x:c r="P206" t="str">
        <x:v>No</x:v>
      </x:c>
      <x:c r="Q206" t="str">
        <x:v>No</x:v>
      </x:c>
      <x:c r="R206" s="6"/>
    </x:row>
    <x:row r="207">
      <x:c r="A207" t="str">
        <x:v>L-0206</x:v>
      </x:c>
      <x:c r="B207" t="str">
        <x:v>Liam</x:v>
      </x:c>
      <x:c r="C207" t="str">
        <x:v>JONES</x:v>
      </x:c>
      <x:c r="D207" t="str">
        <x:v> Summit Analytics </x:v>
      </x:c>
      <x:c r="E207" t="str">
        <x:v>liam.jones668@prospect.co</x:v>
      </x:c>
      <x:c r="F207" t="str">
        <x:v>(627) 910-8798</x:v>
      </x:c>
      <x:c r="G207" t="str">
        <x:v>CA</x:v>
      </x:c>
      <x:c r="H207" t="str">
        <x:v>WEB</x:v>
      </x:c>
      <x:c r="I207" t="str">
        <x:v>QUALIFIED</x:v>
      </x:c>
      <x:c r="J207" t="str">
        <x:v>Jamie Brooks</x:v>
      </x:c>
      <x:c r="K207" s="6" t="n">
        <x:v>46245</x:v>
      </x:c>
      <x:c r="L207" s="6" t="n">
        <x:v>46245</x:v>
      </x:c>
      <x:c r="M207" s="6" t="n">
        <x:v>46253</x:v>
      </x:c>
      <x:c r="N207" s="8" t="n">
        <x:v>78900</x:v>
      </x:c>
      <x:c r="O207" t="str">
        <x:v>Professional Services</x:v>
      </x:c>
      <x:c r="P207" t="str">
        <x:v>Yes</x:v>
      </x:c>
      <x:c r="Q207" t="str">
        <x:v>No</x:v>
      </x:c>
      <x:c r="R207" s="6"/>
    </x:row>
    <x:row r="208">
      <x:c r="A208" t="str">
        <x:v>L-0207</x:v>
      </x:c>
      <x:c r="B208" t="str">
        <x:v>Elijah</x:v>
      </x:c>
      <x:c r="C208" t="str">
        <x:v>DAVIS</x:v>
      </x:c>
      <x:c r="D208" t="str">
        <x:v>Apex Manufacturing</x:v>
      </x:c>
      <x:c r="E208" t="str">
        <x:v>elijah.davis676@examplebiz.com</x:v>
      </x:c>
      <x:c r="F208" t="str">
        <x:v>(484) 254-4173</x:v>
      </x:c>
      <x:c r="G208" t="str">
        <x:v>GA</x:v>
      </x:c>
      <x:c r="H208" t="str">
        <x:v>Cold Outreach</x:v>
      </x:c>
      <x:c r="I208" t="str">
        <x:v>Opportunity</x:v>
      </x:c>
      <x:c r="J208" t="str">
        <x:v>jamie brooks</x:v>
      </x:c>
      <x:c r="K208" s="6" t="n">
        <x:v>46052</x:v>
      </x:c>
      <x:c r="L208" s="6" t="n">
        <x:v>46190</x:v>
      </x:c>
      <x:c r="M208" s="6" t="n">
        <x:v>46209</x:v>
      </x:c>
      <x:c r="N208" s="8" t="n">
        <x:v>20600</x:v>
      </x:c>
      <x:c r="O208" t="str">
        <x:v>Technology</x:v>
      </x:c>
      <x:c r="P208" t="str">
        <x:v>Yes</x:v>
      </x:c>
      <x:c r="Q208" t="str">
        <x:v>No</x:v>
      </x:c>
      <x:c r="R208" s="6"/>
    </x:row>
    <x:row r="209">
      <x:c r="A209" t="str">
        <x:v>L-0208</x:v>
      </x:c>
      <x:c r="B209" t="str">
        <x:v>Liam</x:v>
      </x:c>
      <x:c r="C209" t="str">
        <x:v>Lee</x:v>
      </x:c>
      <x:c r="D209" t="str">
        <x:v>CedarWorks</x:v>
      </x:c>
      <x:c r="E209" t="str">
        <x:v>liam.lee204@prospect.co</x:v>
      </x:c>
      <x:c r="F209" t="str">
        <x:v>(436) 997-2804</x:v>
      </x:c>
      <x:c r="G209" t="str">
        <x:v>CO</x:v>
      </x:c>
      <x:c r="H209" t="str">
        <x:v>webinar</x:v>
      </x:c>
      <x:c r="I209" t="str">
        <x:v>New</x:v>
      </x:c>
      <x:c r="J209" t="str">
        <x:v>Morgan Reed</x:v>
      </x:c>
      <x:c r="K209" s="6" t="n">
        <x:v>46186</x:v>
      </x:c>
      <x:c r="L209" s="6" t="n">
        <x:v>46242</x:v>
      </x:c>
      <x:c r="M209" s="6" t="n">
        <x:v>46263</x:v>
      </x:c>
      <x:c r="N209" s="8" t="n">
        <x:v>50300</x:v>
      </x:c>
      <x:c r="O209" t="str">
        <x:v>Manufacturing</x:v>
      </x:c>
      <x:c r="P209" t="str">
        <x:v>No</x:v>
      </x:c>
      <x:c r="Q209" t="str">
        <x:v>No</x:v>
      </x:c>
      <x:c r="R209" s="6"/>
    </x:row>
    <x:row r="210">
      <x:c r="A210" t="str">
        <x:v>L-0209</x:v>
      </x:c>
      <x:c r="B210" t="str">
        <x:v>Emma</x:v>
      </x:c>
      <x:c r="C210" t="str">
        <x:v>Moore</x:v>
      </x:c>
      <x:c r="D210" t="str">
        <x:v>Apex Manufacturing</x:v>
      </x:c>
      <x:c r="E210" t="str">
        <x:v>emma.moore873@mailhub.net</x:v>
      </x:c>
      <x:c r="F210" t="str">
        <x:v>(670) 628-3804</x:v>
      </x:c>
      <x:c r="G210" t="str">
        <x:v>NY</x:v>
      </x:c>
      <x:c r="H210" t="str">
        <x:v> Website </x:v>
      </x:c>
      <x:c r="I210" t="str">
        <x:v>New</x:v>
      </x:c>
      <x:c r="J210" t="str">
        <x:v>Jordan Lee</x:v>
      </x:c>
      <x:c r="K210" s="6" t="n">
        <x:v>46069</x:v>
      </x:c>
      <x:c r="L210" s="6" t="n">
        <x:v>46214</x:v>
      </x:c>
      <x:c r="M210" s="6" t="n">
        <x:v>46218</x:v>
      </x:c>
      <x:c r="N210" s="8" t="n">
        <x:v>25600</x:v>
      </x:c>
      <x:c r="O210" t="str">
        <x:v>Biotech</x:v>
      </x:c>
      <x:c r="P210" t="str">
        <x:v>No</x:v>
      </x:c>
      <x:c r="Q210" t="str">
        <x:v>No</x:v>
      </x:c>
      <x:c r="R210" s="6"/>
    </x:row>
    <x:row r="211">
      <x:c r="A211" t="str">
        <x:v>L-0210</x:v>
      </x:c>
      <x:c r="B211" t="str">
        <x:v>Harper</x:v>
      </x:c>
      <x:c r="C211" t="str">
        <x:v>Rodriguez</x:v>
      </x:c>
      <x:c r="D211" t="str">
        <x:v>Northstar Labs</x:v>
      </x:c>
      <x:c r="E211" t="str">
        <x:v>harper.rodriguez969@examplebiz.com</x:v>
      </x:c>
      <x:c r="F211" t="str">
        <x:v>(788) 205-7844</x:v>
      </x:c>
      <x:c r="G211" t="str">
        <x:v>PA</x:v>
      </x:c>
      <x:c r="H211" t="str">
        <x:v>Email Campaign</x:v>
      </x:c>
      <x:c r="I211" t="str">
        <x:v>Contact</x:v>
      </x:c>
      <x:c r="J211" t="str"/>
      <x:c r="K211" s="6" t="n">
        <x:v>46135</x:v>
      </x:c>
      <x:c r="L211" s="6" t="n">
        <x:v>46209</x:v>
      </x:c>
      <x:c r="M211" s="6" t="n">
        <x:v>46219</x:v>
      </x:c>
      <x:c r="N211" s="8" t="n">
        <x:v>76100</x:v>
      </x:c>
      <x:c r="O211" t="str">
        <x:v>Professional Services</x:v>
      </x:c>
      <x:c r="P211" t="str">
        <x:v>No</x:v>
      </x:c>
      <x:c r="Q211" t="str">
        <x:v>No</x:v>
      </x:c>
      <x:c r="R211" s="6"/>
    </x:row>
    <x:row r="212">
      <x:c r="A212" t="str">
        <x:v>L-0211</x:v>
      </x:c>
      <x:c r="B212" t="str">
        <x:v>Olivia</x:v>
      </x:c>
      <x:c r="C212" t="str">
        <x:v>JONES</x:v>
      </x:c>
      <x:c r="D212" t="str">
        <x:v>Pioneer Tech</x:v>
      </x:c>
      <x:c r="E212" t="str">
        <x:v>olivia.jones766@northmail.com</x:v>
      </x:c>
      <x:c r="F212" t="str">
        <x:v>666-674-3271</x:v>
      </x:c>
      <x:c r="G212" t="str">
        <x:v>FL</x:v>
      </x:c>
      <x:c r="H212" t="str">
        <x:v>Linked In</x:v>
      </x:c>
      <x:c r="I212" t="str">
        <x:v>new</x:v>
      </x:c>
      <x:c r="J212" t="str">
        <x:v>Alex Kim</x:v>
      </x:c>
      <x:c r="K212" s="6" t="n">
        <x:v>46124</x:v>
      </x:c>
      <x:c r="L212" s="6" t="n">
        <x:v>46202</x:v>
      </x:c>
      <x:c r="M212" s="6" t="n">
        <x:v>46210</x:v>
      </x:c>
      <x:c r="N212" s="8" t="n">
        <x:v>60500</x:v>
      </x:c>
      <x:c r="O212" t="str">
        <x:v>Financial Services</x:v>
      </x:c>
      <x:c r="P212" t="str">
        <x:v>No</x:v>
      </x:c>
      <x:c r="Q212" t="str">
        <x:v>No</x:v>
      </x:c>
      <x:c r="R212" s="6"/>
    </x:row>
    <x:row r="213">
      <x:c r="A213" t="str">
        <x:v>L-0212</x:v>
      </x:c>
      <x:c r="B213" t="str">
        <x:v>Henry</x:v>
      </x:c>
      <x:c r="C213" t="str">
        <x:v>Lee</x:v>
      </x:c>
      <x:c r="D213" t="str">
        <x:v>apex manufacturing</x:v>
      </x:c>
      <x:c r="E213" t="str">
        <x:v>henry.lee114@mailhub.net</x:v>
      </x:c>
      <x:c r="F213" t="str">
        <x:v>(575) 676-1669</x:v>
      </x:c>
      <x:c r="G213" t="str">
        <x:v>WA</x:v>
      </x:c>
      <x:c r="H213" t="str">
        <x:v>email campaign</x:v>
      </x:c>
      <x:c r="I213" t="str">
        <x:v>OPP</x:v>
      </x:c>
      <x:c r="J213" t="str">
        <x:v>Jordan Lee</x:v>
      </x:c>
      <x:c r="K213" s="6" t="n">
        <x:v>46232</x:v>
      </x:c>
      <x:c r="L213" s="6" t="n">
        <x:v>46248</x:v>
      </x:c>
      <x:c r="M213" s="6" t="n">
        <x:v>46272</x:v>
      </x:c>
      <x:c r="N213" s="8" t="n">
        <x:v>32500</x:v>
      </x:c>
      <x:c r="O213" t="str">
        <x:v>Technology</x:v>
      </x:c>
      <x:c r="P213" t="str">
        <x:v>Yes</x:v>
      </x:c>
      <x:c r="Q213" t="str">
        <x:v>No</x:v>
      </x:c>
      <x:c r="R213" s="6"/>
    </x:row>
    <x:row r="214">
      <x:c r="A214" t="str">
        <x:v>L-0213</x:v>
      </x:c>
      <x:c r="B214" t="str">
        <x:v>Isabella</x:v>
      </x:c>
      <x:c r="C214" t="str">
        <x:v>anderson</x:v>
      </x:c>
      <x:c r="D214" t="str">
        <x:v>Horizon Bio</x:v>
      </x:c>
      <x:c r="E214" t="str">
        <x:v>isabella.anderson482@prospect.co</x:v>
      </x:c>
      <x:c r="F214" t="str">
        <x:v>(663) 835-7031</x:v>
      </x:c>
      <x:c r="G214" t="str">
        <x:v>NY</x:v>
      </x:c>
      <x:c r="H214" t="str">
        <x:v>Website</x:v>
      </x:c>
      <x:c r="I214" t="str">
        <x:v>contacted</x:v>
      </x:c>
      <x:c r="J214" t="str">
        <x:v>Jordan Lee</x:v>
      </x:c>
      <x:c r="K214" s="6" t="n">
        <x:v>46131</x:v>
      </x:c>
      <x:c r="L214" s="6" t="n">
        <x:v>46193</x:v>
      </x:c>
      <x:c r="M214" s="6" t="n">
        <x:v>46212</x:v>
      </x:c>
      <x:c r="N214" s="8" t="n">
        <x:v>46000</x:v>
      </x:c>
      <x:c r="O214" t="str">
        <x:v>Professional Services</x:v>
      </x:c>
      <x:c r="P214" t="str">
        <x:v>No</x:v>
      </x:c>
      <x:c r="Q214" t="str">
        <x:v>No</x:v>
      </x:c>
      <x:c r="R214" s="6"/>
    </x:row>
    <x:row r="215">
      <x:c r="A215" t="str">
        <x:v>L-0214</x:v>
      </x:c>
      <x:c r="B215" t="str">
        <x:v>Emma</x:v>
      </x:c>
      <x:c r="C215" t="str">
        <x:v>Jackson</x:v>
      </x:c>
      <x:c r="D215" t="str">
        <x:v>Blue Ridge Supply</x:v>
      </x:c>
      <x:c r="E215" t="str">
        <x:v>emma.jackson356@mailhub.net</x:v>
      </x:c>
      <x:c r="F215" t="str">
        <x:v>(655) 955-1351</x:v>
      </x:c>
      <x:c r="G215" t="str">
        <x:v>GA</x:v>
      </x:c>
      <x:c r="H215" t="str">
        <x:v>Cold Outreach</x:v>
      </x:c>
      <x:c r="I215" t="str">
        <x:v>new</x:v>
      </x:c>
      <x:c r="J215" t="str">
        <x:v>Morgan Reed</x:v>
      </x:c>
      <x:c r="K215" s="6" t="n">
        <x:v>46140</x:v>
      </x:c>
      <x:c r="L215" s="6" t="n">
        <x:v>46227</x:v>
      </x:c>
      <x:c r="M215" s="6" t="n">
        <x:v>46247</x:v>
      </x:c>
      <x:c r="N215" s="8" t="n">
        <x:v>79400</x:v>
      </x:c>
      <x:c r="O215" t="str">
        <x:v>Retail</x:v>
      </x:c>
      <x:c r="P215" t="str">
        <x:v>No</x:v>
      </x:c>
      <x:c r="Q215" t="str">
        <x:v>No</x:v>
      </x:c>
      <x:c r="R215" s="6"/>
    </x:row>
    <x:row r="216">
      <x:c r="A216" t="str">
        <x:v>L-0215</x:v>
      </x:c>
      <x:c r="B216" t="str">
        <x:v>emma</x:v>
      </x:c>
      <x:c r="C216" t="str">
        <x:v>Martinez</x:v>
      </x:c>
      <x:c r="D216" t="str">
        <x:v>CedarWorks</x:v>
      </x:c>
      <x:c r="E216" t="str">
        <x:v>emma.martinez467@examplebiz.com</x:v>
      </x:c>
      <x:c r="F216" t="str">
        <x:v>(834) 364-9770</x:v>
      </x:c>
      <x:c r="G216" t="str">
        <x:v>FL</x:v>
      </x:c>
      <x:c r="H216" t="str">
        <x:v>Webinar</x:v>
      </x:c>
      <x:c r="I216" t="str">
        <x:v>Closed Lost</x:v>
      </x:c>
      <x:c r="J216" t="str">
        <x:v>Casey Patel</x:v>
      </x:c>
      <x:c r="K216" s="6" t="n">
        <x:v>46049</x:v>
      </x:c>
      <x:c r="L216" s="6" t="n">
        <x:v>46061</x:v>
      </x:c>
      <x:c r="M216" s="6"/>
      <x:c r="N216" s="8" t="n">
        <x:v>14700</x:v>
      </x:c>
      <x:c r="O216" t="str">
        <x:v>Financial Services</x:v>
      </x:c>
      <x:c r="P216" t="str">
        <x:v>Yes</x:v>
      </x:c>
      <x:c r="Q216" t="str">
        <x:v>No</x:v>
      </x:c>
      <x:c r="R216" s="6" t="n">
        <x:v>46064</x:v>
      </x:c>
    </x:row>
    <x:row r="217">
      <x:c r="A217" t="str">
        <x:v>L-0216</x:v>
      </x:c>
      <x:c r="B217" t="str">
        <x:v>Logan</x:v>
      </x:c>
      <x:c r="C217" t="str">
        <x:v>Jones</x:v>
      </x:c>
      <x:c r="D217" t="str">
        <x:v>Pioneer Tech</x:v>
      </x:c>
      <x:c r="E217" t="str">
        <x:v>logan.jones971@mailhub.net</x:v>
      </x:c>
      <x:c r="F217" t="str">
        <x:v>(528) 359-1070</x:v>
      </x:c>
      <x:c r="G217" t="str">
        <x:v>GA</x:v>
      </x:c>
      <x:c r="H217" t="str">
        <x:v>Cold Outreach</x:v>
      </x:c>
      <x:c r="I217" t="str">
        <x:v>QUALIFIED</x:v>
      </x:c>
      <x:c r="J217" t="str">
        <x:v>Taylor Morgan</x:v>
      </x:c>
      <x:c r="K217" s="6" t="n">
        <x:v>46215</x:v>
      </x:c>
      <x:c r="L217" s="6" t="n">
        <x:v>46216</x:v>
      </x:c>
      <x:c r="M217" s="6" t="n">
        <x:v>46231</x:v>
      </x:c>
      <x:c r="N217" s="8" t="n">
        <x:v>79300</x:v>
      </x:c>
      <x:c r="O217" t="str">
        <x:v>Logistics</x:v>
      </x:c>
      <x:c r="P217" t="str">
        <x:v>Yes</x:v>
      </x:c>
      <x:c r="Q217" t="str">
        <x:v>No</x:v>
      </x:c>
      <x:c r="R217" s="6"/>
    </x:row>
    <x:row r="218">
      <x:c r="A218" t="str">
        <x:v>L-0217</x:v>
      </x:c>
      <x:c r="B218" t="str">
        <x:v>Benjamin</x:v>
      </x:c>
      <x:c r="C218" t="str">
        <x:v>Johnson</x:v>
      </x:c>
      <x:c r="D218" t="str">
        <x:v>Blue Ridge Supply</x:v>
      </x:c>
      <x:c r="E218" t="str">
        <x:v>benjamin.johnson623@examplebiz.com</x:v>
      </x:c>
      <x:c r="F218" t="str">
        <x:v>(798) 739-4639</x:v>
      </x:c>
      <x:c r="G218" t="str">
        <x:v>NY</x:v>
      </x:c>
      <x:c r="H218" t="str">
        <x:v>Website</x:v>
      </x:c>
      <x:c r="I218" t="str">
        <x:v>OPP</x:v>
      </x:c>
      <x:c r="J218" t="str">
        <x:v>Jordan Lee</x:v>
      </x:c>
      <x:c r="K218" s="6" t="n">
        <x:v>46190</x:v>
      </x:c>
      <x:c r="L218" s="6" t="n">
        <x:v>46218</x:v>
      </x:c>
      <x:c r="M218" s="6" t="n">
        <x:v>46232</x:v>
      </x:c>
      <x:c r="N218" s="8" t="n">
        <x:v>10100</x:v>
      </x:c>
      <x:c r="O218" t="str">
        <x:v>Technology</x:v>
      </x:c>
      <x:c r="P218" t="str">
        <x:v>Yes</x:v>
      </x:c>
      <x:c r="Q218" t="str">
        <x:v>No</x:v>
      </x:c>
      <x:c r="R218" s="6"/>
    </x:row>
    <x:row r="219">
      <x:c r="A219" t="str">
        <x:v>L-0218</x:v>
      </x:c>
      <x:c r="B219" t="str">
        <x:v>Emma</x:v>
      </x:c>
      <x:c r="C219" t="str">
        <x:v>taylor</x:v>
      </x:c>
      <x:c r="D219" t="str">
        <x:v> Pioneer Tech </x:v>
      </x:c>
      <x:c r="E219" t="str">
        <x:v>emma.taylor910@mailhub.net</x:v>
      </x:c>
      <x:c r="F219" t="str">
        <x:v>(960) 625-8249</x:v>
      </x:c>
      <x:c r="G219" t="str">
        <x:v>IL</x:v>
      </x:c>
      <x:c r="H219" t="str">
        <x:v>WEB</x:v>
      </x:c>
      <x:c r="I219" t="str">
        <x:v>Contacted</x:v>
      </x:c>
      <x:c r="J219" t="str">
        <x:v>Jamie Brooks</x:v>
      </x:c>
      <x:c r="K219" s="6" t="n">
        <x:v>46168</x:v>
      </x:c>
      <x:c r="L219" s="6" t="n">
        <x:v>46225</x:v>
      </x:c>
      <x:c r="M219" s="6" t="n">
        <x:v>46245</x:v>
      </x:c>
      <x:c r="N219" s="8" t="n">
        <x:v>9700</x:v>
      </x:c>
      <x:c r="O219" t="str">
        <x:v>Professional Services</x:v>
      </x:c>
      <x:c r="P219" t="str">
        <x:v>No</x:v>
      </x:c>
      <x:c r="Q219" t="str">
        <x:v>No</x:v>
      </x:c>
      <x:c r="R219" s="6"/>
    </x:row>
    <x:row r="220">
      <x:c r="A220" t="str">
        <x:v>L-0219</x:v>
      </x:c>
      <x:c r="B220" t="str">
        <x:v>LUNA</x:v>
      </x:c>
      <x:c r="C220" t="str">
        <x:v>THOMAS</x:v>
      </x:c>
      <x:c r="D220" t="str"/>
      <x:c r="E220" t="str">
        <x:v>luna.thomas205@examplebiz.com</x:v>
      </x:c>
      <x:c r="F220" t="str">
        <x:v>(591) 496-9037</x:v>
      </x:c>
      <x:c r="G220" t="str">
        <x:v>AZ</x:v>
      </x:c>
      <x:c r="H220" t="str">
        <x:v>Linked In</x:v>
      </x:c>
      <x:c r="I220" t="str">
        <x:v>Contacted</x:v>
      </x:c>
      <x:c r="J220" t="str">
        <x:v>Taylor Morgan</x:v>
      </x:c>
      <x:c r="K220" s="6" t="n">
        <x:v>46202</x:v>
      </x:c>
      <x:c r="L220" s="6" t="n">
        <x:v>46237</x:v>
      </x:c>
      <x:c r="M220" s="6" t="n">
        <x:v>46254</x:v>
      </x:c>
      <x:c r="N220" s="8" t="n">
        <x:v>61100</x:v>
      </x:c>
      <x:c r="O220" t="str">
        <x:v>Healthcare</x:v>
      </x:c>
      <x:c r="P220" t="str">
        <x:v>No</x:v>
      </x:c>
      <x:c r="Q220" t="str">
        <x:v>No</x:v>
      </x:c>
      <x:c r="R220" s="6"/>
    </x:row>
    <x:row r="221">
      <x:c r="A221" t="str">
        <x:v>L-0220</x:v>
      </x:c>
      <x:c r="B221" t="str">
        <x:v>Lucas</x:v>
      </x:c>
      <x:c r="C221" t="str">
        <x:v>Taylor</x:v>
      </x:c>
      <x:c r="D221" t="str">
        <x:v> CedarWorks </x:v>
      </x:c>
      <x:c r="E221" t="str">
        <x:v> lucas.taylor614@prospect.co </x:v>
      </x:c>
      <x:c r="F221" t="str">
        <x:v>(796) 692-8144</x:v>
      </x:c>
      <x:c r="G221" t="str">
        <x:v>PA</x:v>
      </x:c>
      <x:c r="H221" t="str">
        <x:v>linkedin</x:v>
      </x:c>
      <x:c r="I221" t="str">
        <x:v>new</x:v>
      </x:c>
      <x:c r="J221" t="str">
        <x:v> Jordan Lee </x:v>
      </x:c>
      <x:c r="K221" s="6" t="n">
        <x:v>46051</x:v>
      </x:c>
      <x:c r="L221" s="6" t="n">
        <x:v>46121</x:v>
      </x:c>
      <x:c r="M221" s="6" t="n">
        <x:v>46139</x:v>
      </x:c>
      <x:c r="N221" s="8" t="n">
        <x:v>84500</x:v>
      </x:c>
      <x:c r="O221" t="str">
        <x:v>Logistics</x:v>
      </x:c>
      <x:c r="P221" t="str">
        <x:v>No</x:v>
      </x:c>
      <x:c r="Q221" t="str">
        <x:v>No</x:v>
      </x:c>
      <x:c r="R221" s="6"/>
    </x:row>
    <x:row r="222">
      <x:c r="A222" t="str">
        <x:v>L-0221</x:v>
      </x:c>
      <x:c r="B222" t="str">
        <x:v>Sophia</x:v>
      </x:c>
      <x:c r="C222" t="str">
        <x:v>anderson</x:v>
      </x:c>
      <x:c r="D222" t="str">
        <x:v>Vertex Solutions</x:v>
      </x:c>
      <x:c r="E222" t="str">
        <x:v>sophia.anderson784@northmail.com</x:v>
      </x:c>
      <x:c r="F222" t="str">
        <x:v>814-970-3738</x:v>
      </x:c>
      <x:c r="G222" t="str">
        <x:v>CO</x:v>
      </x:c>
      <x:c r="H222" t="str">
        <x:v>REFERRAL</x:v>
      </x:c>
      <x:c r="I222" t="str">
        <x:v>QUALIFIED</x:v>
      </x:c>
      <x:c r="J222" t="str">
        <x:v>Taylor Morgan</x:v>
      </x:c>
      <x:c r="K222" s="6" t="n">
        <x:v>46227</x:v>
      </x:c>
      <x:c r="L222" s="6" t="n">
        <x:v>46243</x:v>
      </x:c>
      <x:c r="M222" s="6" t="n">
        <x:v>46252</x:v>
      </x:c>
      <x:c r="N222" s="8" t="n">
        <x:v>65700</x:v>
      </x:c>
      <x:c r="O222" t="str">
        <x:v>Biotech</x:v>
      </x:c>
      <x:c r="P222" t="str">
        <x:v>Yes</x:v>
      </x:c>
      <x:c r="Q222" t="str">
        <x:v>No</x:v>
      </x:c>
      <x:c r="R222" s="6"/>
    </x:row>
    <x:row r="223">
      <x:c r="A223" t="str">
        <x:v>L-0222</x:v>
      </x:c>
      <x:c r="B223" t="str">
        <x:v>James</x:v>
      </x:c>
      <x:c r="C223" t="str">
        <x:v>Wilson</x:v>
      </x:c>
      <x:c r="D223" t="str">
        <x:v>CedarWorks</x:v>
      </x:c>
      <x:c r="E223" t="str"/>
      <x:c r="F223" t="str">
        <x:v>(628) 671-2251</x:v>
      </x:c>
      <x:c r="G223" t="str">
        <x:v>FL</x:v>
      </x:c>
      <x:c r="H223" t="str">
        <x:v>website</x:v>
      </x:c>
      <x:c r="I223" t="str">
        <x:v>CONTACTED</x:v>
      </x:c>
      <x:c r="J223" t="str">
        <x:v>ALEX KIM</x:v>
      </x:c>
      <x:c r="K223" s="6" t="n">
        <x:v>46198</x:v>
      </x:c>
      <x:c r="L223" s="6" t="n">
        <x:v>46248</x:v>
      </x:c>
      <x:c r="M223" s="6" t="n">
        <x:v>46268</x:v>
      </x:c>
      <x:c r="N223" s="8" t="n">
        <x:v>53100</x:v>
      </x:c>
      <x:c r="O223" t="str">
        <x:v>Technology</x:v>
      </x:c>
      <x:c r="P223" t="str">
        <x:v>No</x:v>
      </x:c>
      <x:c r="Q223" t="str">
        <x:v>No</x:v>
      </x:c>
      <x:c r="R223" s="6"/>
    </x:row>
    <x:row r="224">
      <x:c r="A224" t="str">
        <x:v>L-0223</x:v>
      </x:c>
      <x:c r="B224" t="str">
        <x:v>Noah</x:v>
      </x:c>
      <x:c r="C224" t="str">
        <x:v>DAVIS</x:v>
      </x:c>
      <x:c r="D224" t="str"/>
      <x:c r="E224" t="str">
        <x:v>noah.davis80@northmail.com</x:v>
      </x:c>
      <x:c r="F224" t="str">
        <x:v>(696) 975-8065</x:v>
      </x:c>
      <x:c r="G224" t="str">
        <x:v>PA</x:v>
      </x:c>
      <x:c r="H224" t="str">
        <x:v>Website</x:v>
      </x:c>
      <x:c r="I224" t="str">
        <x:v>NEW</x:v>
      </x:c>
      <x:c r="J224" t="str">
        <x:v> Jordan Lee </x:v>
      </x:c>
      <x:c r="K224" s="6" t="n">
        <x:v>46213</x:v>
      </x:c>
      <x:c r="L224" s="6" t="n">
        <x:v>46218</x:v>
      </x:c>
      <x:c r="M224" s="6" t="n">
        <x:v>46234</x:v>
      </x:c>
      <x:c r="N224" s="8" t="n">
        <x:v>59500</x:v>
      </x:c>
      <x:c r="O224" t="str">
        <x:v>Manufacturing</x:v>
      </x:c>
      <x:c r="P224" t="str">
        <x:v>No</x:v>
      </x:c>
      <x:c r="Q224" t="str">
        <x:v>No</x:v>
      </x:c>
      <x:c r="R224" s="6"/>
    </x:row>
    <x:row r="225">
      <x:c r="A225" t="str">
        <x:v>L-0224</x:v>
      </x:c>
      <x:c r="B225" t="str">
        <x:v>Olivia</x:v>
      </x:c>
      <x:c r="C225" t="str">
        <x:v>Garcia</x:v>
      </x:c>
      <x:c r="D225" t="str">
        <x:v>Pioneer Tech</x:v>
      </x:c>
      <x:c r="E225" t="str"/>
      <x:c r="F225" t="str">
        <x:v>(718) 783-2119</x:v>
      </x:c>
      <x:c r="G225" t="str">
        <x:v>TX</x:v>
      </x:c>
      <x:c r="H225" t="str">
        <x:v>website</x:v>
      </x:c>
      <x:c r="I225" t="str">
        <x:v>OPP</x:v>
      </x:c>
      <x:c r="J225" t="str">
        <x:v>Alex Kim</x:v>
      </x:c>
      <x:c r="K225" s="6" t="n">
        <x:v>46175</x:v>
      </x:c>
      <x:c r="L225" s="6" t="n">
        <x:v>46249</x:v>
      </x:c>
      <x:c r="M225" s="6" t="n">
        <x:v>46263</x:v>
      </x:c>
      <x:c r="N225" s="8" t="n">
        <x:v>31600</x:v>
      </x:c>
      <x:c r="O225" t="str">
        <x:v>Healthcare</x:v>
      </x:c>
      <x:c r="P225" t="str">
        <x:v>Yes</x:v>
      </x:c>
      <x:c r="Q225" t="str">
        <x:v>No</x:v>
      </x:c>
      <x:c r="R225" s="6"/>
    </x:row>
    <x:row r="226">
      <x:c r="A226" t="str">
        <x:v>L-0225</x:v>
      </x:c>
      <x:c r="B226" t="str">
        <x:v>benjamin</x:v>
      </x:c>
      <x:c r="C226" t="str">
        <x:v>Anderson</x:v>
      </x:c>
      <x:c r="D226" t="str">
        <x:v>CedarWorks</x:v>
      </x:c>
      <x:c r="E226" t="str">
        <x:v>benjamin.anderson418@northmail.com</x:v>
      </x:c>
      <x:c r="F226" t="str">
        <x:v>(980) 521-3025</x:v>
      </x:c>
      <x:c r="G226" t="str">
        <x:v>OH</x:v>
      </x:c>
      <x:c r="H226" t="str">
        <x:v>Cold Outreach</x:v>
      </x:c>
      <x:c r="I226" t="str">
        <x:v>New</x:v>
      </x:c>
      <x:c r="J226" t="str">
        <x:v>Taylor Morgan</x:v>
      </x:c>
      <x:c r="K226" s="6" t="n">
        <x:v>46156</x:v>
      </x:c>
      <x:c r="L226" s="6" t="n">
        <x:v>46204</x:v>
      </x:c>
      <x:c r="M226" s="6" t="n">
        <x:v>46220</x:v>
      </x:c>
      <x:c r="N226" s="8" t="n">
        <x:v>20200</x:v>
      </x:c>
      <x:c r="O226" t="str">
        <x:v>Logistics</x:v>
      </x:c>
      <x:c r="P226" t="str">
        <x:v>No</x:v>
      </x:c>
      <x:c r="Q226" t="str">
        <x:v>No</x:v>
      </x:c>
      <x:c r="R226" s="6"/>
    </x:row>
    <x:row r="227">
      <x:c r="A227" t="str">
        <x:v>L-0226</x:v>
      </x:c>
      <x:c r="B227" t="str">
        <x:v>Lucas</x:v>
      </x:c>
      <x:c r="C227" t="str">
        <x:v>Taylor</x:v>
      </x:c>
      <x:c r="D227" t="str">
        <x:v>Apex Manufacturing</x:v>
      </x:c>
      <x:c r="E227" t="str">
        <x:v>lucas.taylor536@northmail.com</x:v>
      </x:c>
      <x:c r="F227" t="str">
        <x:v>(323) 346-7468</x:v>
      </x:c>
      <x:c r="G227" t="str">
        <x:v>NC</x:v>
      </x:c>
      <x:c r="H227" t="str">
        <x:v>Cold Outreach</x:v>
      </x:c>
      <x:c r="I227" t="str">
        <x:v>Contact</x:v>
      </x:c>
      <x:c r="J227" t="str">
        <x:v>Morgan Reed</x:v>
      </x:c>
      <x:c r="K227" s="6" t="n">
        <x:v>46243</x:v>
      </x:c>
      <x:c r="L227" s="6" t="n">
        <x:v>46250</x:v>
      </x:c>
      <x:c r="M227" s="6" t="n">
        <x:v>46274</x:v>
      </x:c>
      <x:c r="N227" s="8" t="n">
        <x:v>11200</x:v>
      </x:c>
      <x:c r="O227" t="str">
        <x:v>Technology</x:v>
      </x:c>
      <x:c r="P227" t="str">
        <x:v>No</x:v>
      </x:c>
      <x:c r="Q227" t="str">
        <x:v>No</x:v>
      </x:c>
      <x:c r="R227" s="6"/>
    </x:row>
    <x:row r="228">
      <x:c r="A228" t="str">
        <x:v>L-0227</x:v>
      </x:c>
      <x:c r="B228" t="str">
        <x:v>LUNA</x:v>
      </x:c>
      <x:c r="C228" t="str">
        <x:v> Perez </x:v>
      </x:c>
      <x:c r="D228" t="str">
        <x:v>Horizon Bio</x:v>
      </x:c>
      <x:c r="E228" t="str"/>
      <x:c r="F228" t="str">
        <x:v>(457) 701-9147</x:v>
      </x:c>
      <x:c r="G228" t="str">
        <x:v>IL</x:v>
      </x:c>
      <x:c r="H228" t="str">
        <x:v>webinar</x:v>
      </x:c>
      <x:c r="I228" t="str">
        <x:v>OPP</x:v>
      </x:c>
      <x:c r="J228" t="str">
        <x:v>Morgan Reed</x:v>
      </x:c>
      <x:c r="K228" s="6" t="n">
        <x:v>46143</x:v>
      </x:c>
      <x:c r="L228" s="6" t="n">
        <x:v>46205</x:v>
      </x:c>
      <x:c r="M228" s="6" t="n">
        <x:v>46224</x:v>
      </x:c>
      <x:c r="N228" s="8" t="n">
        <x:v>25500</x:v>
      </x:c>
      <x:c r="O228" t="str">
        <x:v>Professional Services</x:v>
      </x:c>
      <x:c r="P228" t="str">
        <x:v>Yes</x:v>
      </x:c>
      <x:c r="Q228" t="str">
        <x:v>No</x:v>
      </x:c>
      <x:c r="R228" s="6"/>
    </x:row>
    <x:row r="229">
      <x:c r="A229" t="str">
        <x:v>L-0228</x:v>
      </x:c>
      <x:c r="B229" t="str">
        <x:v>Mia</x:v>
      </x:c>
      <x:c r="C229" t="str">
        <x:v>Martin</x:v>
      </x:c>
      <x:c r="D229" t="str">
        <x:v>Atlas Commerce</x:v>
      </x:c>
      <x:c r="E229" t="str">
        <x:v>mia.thompson668@examplebiz.com</x:v>
      </x:c>
      <x:c r="F229" t="str">
        <x:v>(983) 232-8051</x:v>
      </x:c>
      <x:c r="G229" t="str">
        <x:v>FL</x:v>
      </x:c>
      <x:c r="H229" t="str">
        <x:v>referral</x:v>
      </x:c>
      <x:c r="I229" t="str">
        <x:v>QUALIFIED</x:v>
      </x:c>
      <x:c r="J229" t="str">
        <x:v>Alex Kim</x:v>
      </x:c>
      <x:c r="K229" s="6" t="n">
        <x:v>46117</x:v>
      </x:c>
      <x:c r="L229" s="6" t="n">
        <x:v>46183</x:v>
      </x:c>
      <x:c r="M229" s="6" t="n">
        <x:v>46203</x:v>
      </x:c>
      <x:c r="N229" s="8" t="n">
        <x:v>30800</x:v>
      </x:c>
      <x:c r="O229" t="str">
        <x:v>Logistics</x:v>
      </x:c>
      <x:c r="P229" t="str">
        <x:v>Yes</x:v>
      </x:c>
      <x:c r="Q229" t="str">
        <x:v>No</x:v>
      </x:c>
      <x:c r="R229" s="6"/>
    </x:row>
    <x:row r="230">
      <x:c r="A230" t="str">
        <x:v>L-0229</x:v>
      </x:c>
      <x:c r="B230" t="str">
        <x:v>Benjamin</x:v>
      </x:c>
      <x:c r="C230" t="str">
        <x:v>Brown</x:v>
      </x:c>
      <x:c r="D230" t="str"/>
      <x:c r="E230" t="str">
        <x:v>benjamin.brown632@prospect.co</x:v>
      </x:c>
      <x:c r="F230" t="str">
        <x:v>(985) 491-6250</x:v>
      </x:c>
      <x:c r="G230" t="str">
        <x:v>NC</x:v>
      </x:c>
      <x:c r="H230" t="str">
        <x:v>trade show</x:v>
      </x:c>
      <x:c r="I230" t="str">
        <x:v>new</x:v>
      </x:c>
      <x:c r="J230" t="str">
        <x:v>Morgan Reed</x:v>
      </x:c>
      <x:c r="K230" s="6" t="n">
        <x:v>46232</x:v>
      </x:c>
      <x:c r="L230" s="6" t="n">
        <x:v>46244</x:v>
      </x:c>
      <x:c r="M230" s="6" t="n">
        <x:v>46255</x:v>
      </x:c>
      <x:c r="N230" s="8" t="n">
        <x:v>43300</x:v>
      </x:c>
      <x:c r="O230" t="str">
        <x:v>Logistics</x:v>
      </x:c>
      <x:c r="P230" t="str">
        <x:v>No</x:v>
      </x:c>
      <x:c r="Q230" t="str">
        <x:v>No</x:v>
      </x:c>
      <x:c r="R230" s="6"/>
    </x:row>
    <x:row r="231">
      <x:c r="A231" t="str">
        <x:v>L-0230</x:v>
      </x:c>
      <x:c r="B231" t="str">
        <x:v>Mason</x:v>
      </x:c>
      <x:c r="C231" t="str">
        <x:v>Davis</x:v>
      </x:c>
      <x:c r="D231" t="str">
        <x:v>Clearview Media</x:v>
      </x:c>
      <x:c r="E231" t="str">
        <x:v>mason.davis334@northmail.com</x:v>
      </x:c>
      <x:c r="F231" t="str">
        <x:v>(672) 873-7921</x:v>
      </x:c>
      <x:c r="G231" t="str">
        <x:v>WA</x:v>
      </x:c>
      <x:c r="H231" t="str">
        <x:v>website</x:v>
      </x:c>
      <x:c r="I231" t="str">
        <x:v>opportunity</x:v>
      </x:c>
      <x:c r="J231" t="str">
        <x:v>Alex Kim</x:v>
      </x:c>
      <x:c r="K231" s="6" t="n">
        <x:v>46168</x:v>
      </x:c>
      <x:c r="L231" s="6" t="n">
        <x:v>46182</x:v>
      </x:c>
      <x:c r="M231" s="6" t="n">
        <x:v>46195</x:v>
      </x:c>
      <x:c r="N231" s="8" t="n">
        <x:v>16500</x:v>
      </x:c>
      <x:c r="O231" t="str">
        <x:v>Financial Services</x:v>
      </x:c>
      <x:c r="P231" t="str">
        <x:v>Yes</x:v>
      </x:c>
      <x:c r="Q231" t="str">
        <x:v>No</x:v>
      </x:c>
      <x:c r="R231" s="6"/>
    </x:row>
    <x:row r="232">
      <x:c r="A232" t="str">
        <x:v>L-0231</x:v>
      </x:c>
      <x:c r="B232" t="str">
        <x:v>Isabella</x:v>
      </x:c>
      <x:c r="C232" t="str">
        <x:v>Garcia</x:v>
      </x:c>
      <x:c r="D232" t="str">
        <x:v>Evergreen Services</x:v>
      </x:c>
      <x:c r="E232" t="str">
        <x:v>isabella.garcia49@prospect.co</x:v>
      </x:c>
      <x:c r="F232" t="str">
        <x:v>788-611-4700</x:v>
      </x:c>
      <x:c r="G232" t="str">
        <x:v>AZ</x:v>
      </x:c>
      <x:c r="H232" t="str">
        <x:v>WEB</x:v>
      </x:c>
      <x:c r="I232" t="str">
        <x:v>OPP</x:v>
      </x:c>
      <x:c r="J232" t="str">
        <x:v>Casey Patel</x:v>
      </x:c>
      <x:c r="K232" s="6" t="n">
        <x:v>46045</x:v>
      </x:c>
      <x:c r="L232" s="6" t="n">
        <x:v>46064</x:v>
      </x:c>
      <x:c r="M232" s="6" t="n">
        <x:v>46084</x:v>
      </x:c>
      <x:c r="N232" s="8" t="n">
        <x:v>20200</x:v>
      </x:c>
      <x:c r="O232" t="str">
        <x:v>Biotech</x:v>
      </x:c>
      <x:c r="P232" t="str">
        <x:v>Yes</x:v>
      </x:c>
      <x:c r="Q232" t="str">
        <x:v>No</x:v>
      </x:c>
      <x:c r="R232" s="6"/>
    </x:row>
    <x:row r="233">
      <x:c r="A233" t="str">
        <x:v>L-0232</x:v>
      </x:c>
      <x:c r="B233" t="str">
        <x:v>James</x:v>
      </x:c>
      <x:c r="C233" t="str">
        <x:v>Lee</x:v>
      </x:c>
      <x:c r="D233" t="str">
        <x:v>Redstone Consulting</x:v>
      </x:c>
      <x:c r="E233" t="str">
        <x:v>james.lee643@examplebiz.com</x:v>
      </x:c>
      <x:c r="F233" t="str">
        <x:v>791-711-4489</x:v>
      </x:c>
      <x:c r="G233" t="str">
        <x:v>AZ</x:v>
      </x:c>
      <x:c r="H233" t="str">
        <x:v>referral</x:v>
      </x:c>
      <x:c r="I233" t="str">
        <x:v>opportunity</x:v>
      </x:c>
      <x:c r="J233" t="str">
        <x:v>Jordan Lee</x:v>
      </x:c>
      <x:c r="K233" s="6" t="n">
        <x:v>46130</x:v>
      </x:c>
      <x:c r="L233" s="6" t="n">
        <x:v>46215</x:v>
      </x:c>
      <x:c r="M233" s="6" t="n">
        <x:v>46235</x:v>
      </x:c>
      <x:c r="N233" s="8" t="n">
        <x:v>17400</x:v>
      </x:c>
      <x:c r="O233" t="str">
        <x:v>Retail</x:v>
      </x:c>
      <x:c r="P233" t="str">
        <x:v>Yes</x:v>
      </x:c>
      <x:c r="Q233" t="str">
        <x:v>No</x:v>
      </x:c>
      <x:c r="R233" s="6"/>
    </x:row>
    <x:row r="234">
      <x:c r="A234" t="str">
        <x:v>L-0233</x:v>
      </x:c>
      <x:c r="B234" t="str">
        <x:v>Mason</x:v>
      </x:c>
      <x:c r="C234" t="str">
        <x:v>Jones</x:v>
      </x:c>
      <x:c r="D234" t="str">
        <x:v>Evergreen Services</x:v>
      </x:c>
      <x:c r="E234" t="str">
        <x:v>mason.jones274@prospect.co</x:v>
      </x:c>
      <x:c r="F234" t="str">
        <x:v>862-364-5201</x:v>
      </x:c>
      <x:c r="G234" t="str">
        <x:v>AZ</x:v>
      </x:c>
      <x:c r="H234" t="str">
        <x:v>referral</x:v>
      </x:c>
      <x:c r="I234" t="str">
        <x:v>WON</x:v>
      </x:c>
      <x:c r="J234" t="str">
        <x:v>morgan reed</x:v>
      </x:c>
      <x:c r="K234" s="6" t="n">
        <x:v>46230</x:v>
      </x:c>
      <x:c r="L234" s="6" t="n">
        <x:v>46250</x:v>
      </x:c>
      <x:c r="M234" s="6"/>
      <x:c r="N234" s="8" t="n">
        <x:v>19300</x:v>
      </x:c>
      <x:c r="O234" t="str">
        <x:v>Professional Services</x:v>
      </x:c>
      <x:c r="P234" t="str">
        <x:v>Yes</x:v>
      </x:c>
      <x:c r="Q234" t="str">
        <x:v>Yes</x:v>
      </x:c>
      <x:c r="R234" s="6" t="n">
        <x:v>46251</x:v>
      </x:c>
    </x:row>
    <x:row r="235">
      <x:c r="A235" t="str">
        <x:v>L-0234</x:v>
      </x:c>
      <x:c r="B235" t="str">
        <x:v>sophia</x:v>
      </x:c>
      <x:c r="C235" t="str">
        <x:v>Rodriguez</x:v>
      </x:c>
      <x:c r="D235" t="str">
        <x:v>CedarWorks</x:v>
      </x:c>
      <x:c r="E235" t="str">
        <x:v>sophia.rodriguez923@mailhub.net</x:v>
      </x:c>
      <x:c r="F235" t="str">
        <x:v>(573) 887-2479</x:v>
      </x:c>
      <x:c r="G235" t="str">
        <x:v>PA</x:v>
      </x:c>
      <x:c r="H235" t="str">
        <x:v>webinar</x:v>
      </x:c>
      <x:c r="I235" t="str">
        <x:v>New</x:v>
      </x:c>
      <x:c r="J235" t="str">
        <x:v>Jordan Lee</x:v>
      </x:c>
      <x:c r="K235" s="6" t="n">
        <x:v>46225</x:v>
      </x:c>
      <x:c r="L235" s="6" t="n">
        <x:v>46235</x:v>
      </x:c>
      <x:c r="M235" s="6" t="n">
        <x:v>46257</x:v>
      </x:c>
      <x:c r="N235" s="8" t="n">
        <x:v>27100</x:v>
      </x:c>
      <x:c r="O235" t="str">
        <x:v>Healthcare</x:v>
      </x:c>
      <x:c r="P235" t="str">
        <x:v>No</x:v>
      </x:c>
      <x:c r="Q235" t="str">
        <x:v>No</x:v>
      </x:c>
      <x:c r="R235" s="6"/>
    </x:row>
    <x:row r="236">
      <x:c r="A236" t="str">
        <x:v>L-0235</x:v>
      </x:c>
      <x:c r="B236" t="str">
        <x:v>Noah</x:v>
      </x:c>
      <x:c r="C236" t="str">
        <x:v>Wilson</x:v>
      </x:c>
      <x:c r="D236" t="str">
        <x:v>Redstone Consulting</x:v>
      </x:c>
      <x:c r="E236" t="str">
        <x:v>noah.wilson994@prospect.co</x:v>
      </x:c>
      <x:c r="F236" t="str">
        <x:v>(651) 618-5166</x:v>
      </x:c>
      <x:c r="G236" t="str">
        <x:v>PA</x:v>
      </x:c>
      <x:c r="H236" t="str">
        <x:v>LINKEDIN</x:v>
      </x:c>
      <x:c r="I236" t="str">
        <x:v>LOST</x:v>
      </x:c>
      <x:c r="J236" t="str"/>
      <x:c r="K236" s="6" t="n">
        <x:v>46191</x:v>
      </x:c>
      <x:c r="L236" s="6" t="n">
        <x:v>46200</x:v>
      </x:c>
      <x:c r="M236" s="6"/>
      <x:c r="N236" s="8" t="n">
        <x:v>11300</x:v>
      </x:c>
      <x:c r="O236" t="str">
        <x:v>Professional Services</x:v>
      </x:c>
      <x:c r="P236" t="str">
        <x:v>Yes</x:v>
      </x:c>
      <x:c r="Q236" t="str">
        <x:v>No</x:v>
      </x:c>
      <x:c r="R236" s="6" t="n">
        <x:v>46207</x:v>
      </x:c>
    </x:row>
    <x:row r="237">
      <x:c r="A237" t="str">
        <x:v>L-0236</x:v>
      </x:c>
      <x:c r="B237" t="str">
        <x:v>Ava</x:v>
      </x:c>
      <x:c r="C237" t="str">
        <x:v>Thompson</x:v>
      </x:c>
      <x:c r="D237" t="str">
        <x:v> Peakline Systems </x:v>
      </x:c>
      <x:c r="E237" t="str">
        <x:v>ava.thompson372@northmail.com</x:v>
      </x:c>
      <x:c r="F237" t="str">
        <x:v>(748) 442-8248</x:v>
      </x:c>
      <x:c r="G237" t="str">
        <x:v>PA</x:v>
      </x:c>
      <x:c r="H237" t="str">
        <x:v>OUTBOUND</x:v>
      </x:c>
      <x:c r="I237" t="str">
        <x:v>OPP</x:v>
      </x:c>
      <x:c r="J237" t="str">
        <x:v>Jamie Brooks</x:v>
      </x:c>
      <x:c r="K237" s="6" t="n">
        <x:v>46182</x:v>
      </x:c>
      <x:c r="L237" s="6" t="n">
        <x:v>46231</x:v>
      </x:c>
      <x:c r="M237" s="6" t="n">
        <x:v>46243</x:v>
      </x:c>
      <x:c r="N237" s="8" t="n">
        <x:v>55200</x:v>
      </x:c>
      <x:c r="O237" t="str">
        <x:v>Healthcare</x:v>
      </x:c>
      <x:c r="P237" t="str">
        <x:v>Yes</x:v>
      </x:c>
      <x:c r="Q237" t="str">
        <x:v>No</x:v>
      </x:c>
      <x:c r="R237" s="6"/>
    </x:row>
    <x:row r="238">
      <x:c r="A238" t="str">
        <x:v>L-0237</x:v>
      </x:c>
      <x:c r="B238" t="str">
        <x:v>Liam</x:v>
      </x:c>
      <x:c r="C238" t="str">
        <x:v> Rodriguez </x:v>
      </x:c>
      <x:c r="D238" t="str"/>
      <x:c r="E238" t="str">
        <x:v>liam.rodriguez845@examplebiz.com</x:v>
      </x:c>
      <x:c r="F238" t="str">
        <x:v>(916) 467-9295</x:v>
      </x:c>
      <x:c r="G238" t="str">
        <x:v>NC</x:v>
      </x:c>
      <x:c r="H238" t="str">
        <x:v>LinkedIn</x:v>
      </x:c>
      <x:c r="I238" t="str">
        <x:v>Closed-Lost</x:v>
      </x:c>
      <x:c r="J238" t="str">
        <x:v> Jordan Lee </x:v>
      </x:c>
      <x:c r="K238" s="6" t="n">
        <x:v>46161</x:v>
      </x:c>
      <x:c r="L238" s="6" t="n">
        <x:v>46215</x:v>
      </x:c>
      <x:c r="M238" s="6"/>
      <x:c r="N238" s="8" t="n">
        <x:v>74800</x:v>
      </x:c>
      <x:c r="O238" t="str">
        <x:v>Logistics</x:v>
      </x:c>
      <x:c r="P238" t="str">
        <x:v>Yes</x:v>
      </x:c>
      <x:c r="Q238" t="str">
        <x:v>No</x:v>
      </x:c>
      <x:c r="R238" s="6" t="n">
        <x:v>46215</x:v>
      </x:c>
    </x:row>
    <x:row r="239">
      <x:c r="A239" t="str">
        <x:v>L-0238</x:v>
      </x:c>
      <x:c r="B239" t="str">
        <x:v> Lucas </x:v>
      </x:c>
      <x:c r="C239" t="str">
        <x:v>Wilson</x:v>
      </x:c>
      <x:c r="D239" t="str">
        <x:v>BrightPath Health</x:v>
      </x:c>
      <x:c r="E239" t="str">
        <x:v>lucas.wilson421@prospect.co</x:v>
      </x:c>
      <x:c r="F239" t="str">
        <x:v>(663) 689-3187</x:v>
      </x:c>
      <x:c r="G239" t="str">
        <x:v>CA</x:v>
      </x:c>
      <x:c r="H239" t="str">
        <x:v>Referral</x:v>
      </x:c>
      <x:c r="I239" t="str">
        <x:v>OPP</x:v>
      </x:c>
      <x:c r="J239" t="str">
        <x:v>Jamie Brooks</x:v>
      </x:c>
      <x:c r="K239" s="6" t="n">
        <x:v>46050</x:v>
      </x:c>
      <x:c r="L239" s="6" t="n">
        <x:v>46216</x:v>
      </x:c>
      <x:c r="M239" s="6" t="n">
        <x:v>46223</x:v>
      </x:c>
      <x:c r="N239" s="8" t="n">
        <x:v>72400</x:v>
      </x:c>
      <x:c r="O239" t="str">
        <x:v>Technology</x:v>
      </x:c>
      <x:c r="P239" t="str">
        <x:v>Yes</x:v>
      </x:c>
      <x:c r="Q239" t="str">
        <x:v>No</x:v>
      </x:c>
      <x:c r="R239" s="6"/>
    </x:row>
    <x:row r="240">
      <x:c r="A240" t="str">
        <x:v>L-0239</x:v>
      </x:c>
      <x:c r="B240" t="str">
        <x:v>Mason</x:v>
      </x:c>
      <x:c r="C240" t="str">
        <x:v> Williams </x:v>
      </x:c>
      <x:c r="D240" t="str"/>
      <x:c r="E240" t="str">
        <x:v>mason.williams92@prospect.co</x:v>
      </x:c>
      <x:c r="F240" t="str">
        <x:v>(375) 780-2922</x:v>
      </x:c>
      <x:c r="G240" t="str">
        <x:v>NY</x:v>
      </x:c>
      <x:c r="H240" t="str">
        <x:v>LINKEDIN</x:v>
      </x:c>
      <x:c r="I240" t="str">
        <x:v>new</x:v>
      </x:c>
      <x:c r="J240" t="str">
        <x:v>Taylor Morgan</x:v>
      </x:c>
      <x:c r="K240" s="6" t="n">
        <x:v>46144</x:v>
      </x:c>
      <x:c r="L240" s="6" t="n">
        <x:v>46223</x:v>
      </x:c>
      <x:c r="M240" s="6" t="n">
        <x:v>46239</x:v>
      </x:c>
      <x:c r="N240" s="8" t="n">
        <x:v>52000</x:v>
      </x:c>
      <x:c r="O240" t="str">
        <x:v>Retail</x:v>
      </x:c>
      <x:c r="P240" t="str">
        <x:v>No</x:v>
      </x:c>
      <x:c r="Q240" t="str">
        <x:v>No</x:v>
      </x:c>
      <x:c r="R240" s="6"/>
    </x:row>
    <x:row r="241">
      <x:c r="A241" t="str">
        <x:v>L-0240</x:v>
      </x:c>
      <x:c r="B241" t="str">
        <x:v>amelia</x:v>
      </x:c>
      <x:c r="C241" t="str">
        <x:v>Jones</x:v>
      </x:c>
      <x:c r="D241" t="str">
        <x:v>Vertex Solutions</x:v>
      </x:c>
      <x:c r="E241" t="str">
        <x:v>amelia.jones419@examplebiz.com</x:v>
      </x:c>
      <x:c r="F241" t="str">
        <x:v>(230) 497-5289</x:v>
      </x:c>
      <x:c r="G241" t="str">
        <x:v>WA</x:v>
      </x:c>
      <x:c r="H241" t="str">
        <x:v> Website </x:v>
      </x:c>
      <x:c r="I241" t="str">
        <x:v>WON</x:v>
      </x:c>
      <x:c r="J241" t="str">
        <x:v>TAYLOR MORGAN</x:v>
      </x:c>
      <x:c r="K241" s="6" t="n">
        <x:v>46060</x:v>
      </x:c>
      <x:c r="L241" s="6" t="n">
        <x:v>46233</x:v>
      </x:c>
      <x:c r="M241" s="6"/>
      <x:c r="N241" s="8" t="n">
        <x:v>18100</x:v>
      </x:c>
      <x:c r="O241" t="str">
        <x:v>Retail</x:v>
      </x:c>
      <x:c r="P241" t="str">
        <x:v>Yes</x:v>
      </x:c>
      <x:c r="Q241" t="str">
        <x:v>Yes</x:v>
      </x:c>
      <x:c r="R241" s="6" t="n">
        <x:v>46240</x:v>
      </x:c>
    </x:row>
    <x:row r="242">
      <x:c r="A242" t="str">
        <x:v>L-0241</x:v>
      </x:c>
      <x:c r="B242" t="str">
        <x:v>Elijah</x:v>
      </x:c>
      <x:c r="C242" t="str">
        <x:v>Johnson</x:v>
      </x:c>
      <x:c r="D242" t="str">
        <x:v>Peakline Systems</x:v>
      </x:c>
      <x:c r="E242" t="str">
        <x:v>elijah.johnson6@prospect.co</x:v>
      </x:c>
      <x:c r="F242" t="str">
        <x:v>(717) 834-7241</x:v>
      </x:c>
      <x:c r="G242" t="str">
        <x:v>FL</x:v>
      </x:c>
      <x:c r="H242" t="str">
        <x:v>webinar</x:v>
      </x:c>
      <x:c r="I242" t="str">
        <x:v>Contact</x:v>
      </x:c>
      <x:c r="J242" t="str">
        <x:v>jordan lee</x:v>
      </x:c>
      <x:c r="K242" s="6" t="n">
        <x:v>46091</x:v>
      </x:c>
      <x:c r="L242" s="6" t="n">
        <x:v>46244</x:v>
      </x:c>
      <x:c r="M242" s="6" t="n">
        <x:v>46269</x:v>
      </x:c>
      <x:c r="N242" s="8" t="n">
        <x:v>64200</x:v>
      </x:c>
      <x:c r="O242" t="str">
        <x:v>Biotech</x:v>
      </x:c>
      <x:c r="P242" t="str">
        <x:v>No</x:v>
      </x:c>
      <x:c r="Q242" t="str">
        <x:v>No</x:v>
      </x:c>
      <x:c r="R242" s="6"/>
    </x:row>
    <x:row r="243">
      <x:c r="A243" t="str">
        <x:v>L-0242</x:v>
      </x:c>
      <x:c r="B243" t="str">
        <x:v>Noah</x:v>
      </x:c>
      <x:c r="C243" t="str">
        <x:v>Wilson</x:v>
      </x:c>
      <x:c r="D243" t="str">
        <x:v>Peakline Systems</x:v>
      </x:c>
      <x:c r="E243" t="str">
        <x:v> noah.wilson925@prospect.co </x:v>
      </x:c>
      <x:c r="F243" t="str">
        <x:v>(828) 979-5321</x:v>
      </x:c>
      <x:c r="G243" t="str">
        <x:v>NC</x:v>
      </x:c>
      <x:c r="H243" t="str">
        <x:v>email campaign</x:v>
      </x:c>
      <x:c r="I243" t="str">
        <x:v>closed won</x:v>
      </x:c>
      <x:c r="J243" t="str">
        <x:v>CASEY PATEL</x:v>
      </x:c>
      <x:c r="K243" s="6" t="n">
        <x:v>46055</x:v>
      </x:c>
      <x:c r="L243" s="6" t="n">
        <x:v>46147</x:v>
      </x:c>
      <x:c r="M243" s="6"/>
      <x:c r="N243" s="8" t="n">
        <x:v>78900</x:v>
      </x:c>
      <x:c r="O243" t="str">
        <x:v>Manufacturing</x:v>
      </x:c>
      <x:c r="P243" t="str">
        <x:v>Yes</x:v>
      </x:c>
      <x:c r="Q243" t="str">
        <x:v>Yes</x:v>
      </x:c>
      <x:c r="R243" s="6" t="n">
        <x:v>46155</x:v>
      </x:c>
    </x:row>
    <x:row r="244">
      <x:c r="A244" t="str">
        <x:v>L-0243</x:v>
      </x:c>
      <x:c r="B244" t="str">
        <x:v>Sophia</x:v>
      </x:c>
      <x:c r="C244" t="str">
        <x:v>Garcia</x:v>
      </x:c>
      <x:c r="D244" t="str">
        <x:v>Prairie Health</x:v>
      </x:c>
      <x:c r="E244" t="str">
        <x:v>sophia.garcia575@mailhub.net</x:v>
      </x:c>
      <x:c r="F244" t="str">
        <x:v>(669) 704-2843</x:v>
      </x:c>
      <x:c r="G244" t="str">
        <x:v>TX</x:v>
      </x:c>
      <x:c r="H244" t="str">
        <x:v>Outbound</x:v>
      </x:c>
      <x:c r="I244" t="str">
        <x:v>closed lost</x:v>
      </x:c>
      <x:c r="J244" t="str">
        <x:v>Jamie Brooks</x:v>
      </x:c>
      <x:c r="K244" s="6" t="n">
        <x:v>46236</x:v>
      </x:c>
      <x:c r="L244" s="6" t="n">
        <x:v>46250</x:v>
      </x:c>
      <x:c r="M244" s="6"/>
      <x:c r="N244" s="8" t="n">
        <x:v>31900</x:v>
      </x:c>
      <x:c r="O244" t="str">
        <x:v>Professional Services</x:v>
      </x:c>
      <x:c r="P244" t="str">
        <x:v>Yes</x:v>
      </x:c>
      <x:c r="Q244" t="str">
        <x:v>No</x:v>
      </x:c>
      <x:c r="R244" s="6" t="n">
        <x:v>46251</x:v>
      </x:c>
    </x:row>
    <x:row r="245">
      <x:c r="A245" t="str">
        <x:v>L-0244</x:v>
      </x:c>
      <x:c r="B245" t="str">
        <x:v>Mia</x:v>
      </x:c>
      <x:c r="C245" t="str">
        <x:v>DAVIS</x:v>
      </x:c>
      <x:c r="D245" t="str">
        <x:v>Atlas Commerce</x:v>
      </x:c>
      <x:c r="E245" t="str">
        <x:v>mia.davis858@prospect.co</x:v>
      </x:c>
      <x:c r="F245" t="str">
        <x:v>(358) 229-2328</x:v>
      </x:c>
      <x:c r="G245" t="str">
        <x:v>IL</x:v>
      </x:c>
      <x:c r="H245" t="str">
        <x:v>website</x:v>
      </x:c>
      <x:c r="I245" t="str">
        <x:v>Opportunity</x:v>
      </x:c>
      <x:c r="J245" t="str">
        <x:v>Jordan Lee</x:v>
      </x:c>
      <x:c r="K245" s="6" t="n">
        <x:v>46072</x:v>
      </x:c>
      <x:c r="L245" s="6" t="n">
        <x:v>46103</x:v>
      </x:c>
      <x:c r="M245" s="6" t="n">
        <x:v>46118</x:v>
      </x:c>
      <x:c r="N245" s="8" t="n">
        <x:v>33300</x:v>
      </x:c>
      <x:c r="O245" t="str">
        <x:v>Technology</x:v>
      </x:c>
      <x:c r="P245" t="str">
        <x:v>Yes</x:v>
      </x:c>
      <x:c r="Q245" t="str">
        <x:v>No</x:v>
      </x:c>
      <x:c r="R245" s="6"/>
    </x:row>
    <x:row r="246">
      <x:c r="A246" t="str">
        <x:v>L-0245</x:v>
      </x:c>
      <x:c r="B246" t="str">
        <x:v>Lucas</x:v>
      </x:c>
      <x:c r="C246" t="str">
        <x:v>Wilson</x:v>
      </x:c>
      <x:c r="D246" t="str">
        <x:v>Peakline Systems</x:v>
      </x:c>
      <x:c r="E246" t="str">
        <x:v>lucas.wilson92@northmail.com</x:v>
      </x:c>
      <x:c r="F246" t="str">
        <x:v>(414) 366-7365</x:v>
      </x:c>
      <x:c r="G246" t="str">
        <x:v>GA</x:v>
      </x:c>
      <x:c r="H246" t="str">
        <x:v>Outbound</x:v>
      </x:c>
      <x:c r="I246" t="str">
        <x:v>CONTACTED</x:v>
      </x:c>
      <x:c r="J246" t="str">
        <x:v>Morgan Reed</x:v>
      </x:c>
      <x:c r="K246" s="6" t="n">
        <x:v>46144</x:v>
      </x:c>
      <x:c r="L246" s="6" t="n">
        <x:v>46176</x:v>
      </x:c>
      <x:c r="M246" s="6" t="n">
        <x:v>46184</x:v>
      </x:c>
      <x:c r="N246" s="8" t="n">
        <x:v>22300</x:v>
      </x:c>
      <x:c r="O246" t="str">
        <x:v>Technology</x:v>
      </x:c>
      <x:c r="P246" t="str">
        <x:v>No</x:v>
      </x:c>
      <x:c r="Q246" t="str">
        <x:v>No</x:v>
      </x:c>
      <x:c r="R246" s="6"/>
    </x:row>
    <x:row r="247">
      <x:c r="A247" t="str">
        <x:v>L-0246</x:v>
      </x:c>
      <x:c r="B247" t="str">
        <x:v>Benjamin</x:v>
      </x:c>
      <x:c r="C247" t="str">
        <x:v>Moore</x:v>
      </x:c>
      <x:c r="D247" t="str">
        <x:v>Silverline Foods</x:v>
      </x:c>
      <x:c r="E247" t="str">
        <x:v>benjamin.moore646@mailhub.net</x:v>
      </x:c>
      <x:c r="F247" t="str">
        <x:v>(296) 241-9410</x:v>
      </x:c>
      <x:c r="G247" t="str">
        <x:v>NY</x:v>
      </x:c>
      <x:c r="H247" t="str">
        <x:v>TRADE SHOW</x:v>
      </x:c>
      <x:c r="I247" t="str">
        <x:v>QUALIFIED</x:v>
      </x:c>
      <x:c r="J247" t="str">
        <x:v>morgan reed</x:v>
      </x:c>
      <x:c r="K247" s="6" t="n">
        <x:v>46053</x:v>
      </x:c>
      <x:c r="L247" s="6" t="n">
        <x:v>46161</x:v>
      </x:c>
      <x:c r="M247" s="6" t="n">
        <x:v>46175</x:v>
      </x:c>
      <x:c r="N247" s="8" t="n">
        <x:v>53100</x:v>
      </x:c>
      <x:c r="O247" t="str">
        <x:v>Logistics</x:v>
      </x:c>
      <x:c r="P247" t="str">
        <x:v>Yes</x:v>
      </x:c>
      <x:c r="Q247" t="str">
        <x:v>No</x:v>
      </x:c>
      <x:c r="R247" s="6"/>
    </x:row>
    <x:row r="248">
      <x:c r="A248" t="str">
        <x:v>L-0247</x:v>
      </x:c>
      <x:c r="B248" t="str">
        <x:v>Emma</x:v>
      </x:c>
      <x:c r="C248" t="str">
        <x:v>Martinez</x:v>
      </x:c>
      <x:c r="D248" t="str">
        <x:v>CLEARVIEW MEDIA</x:v>
      </x:c>
      <x:c r="E248" t="str">
        <x:v>emma.martinez97@mailhub.net</x:v>
      </x:c>
      <x:c r="F248" t="str"/>
      <x:c r="G248" t="str">
        <x:v>NY</x:v>
      </x:c>
      <x:c r="H248" t="str">
        <x:v>trade show</x:v>
      </x:c>
      <x:c r="I248" t="str">
        <x:v>Qual</x:v>
      </x:c>
      <x:c r="J248" t="str">
        <x:v>Morgan Reed</x:v>
      </x:c>
      <x:c r="K248" s="6" t="n">
        <x:v>46235</x:v>
      </x:c>
      <x:c r="L248" s="6" t="n">
        <x:v>46251</x:v>
      </x:c>
      <x:c r="M248" s="6" t="n">
        <x:v>46257</x:v>
      </x:c>
      <x:c r="N248" s="8" t="n">
        <x:v>44600</x:v>
      </x:c>
      <x:c r="O248" t="str">
        <x:v>Professional Services</x:v>
      </x:c>
      <x:c r="P248" t="str">
        <x:v>Yes</x:v>
      </x:c>
      <x:c r="Q248" t="str">
        <x:v>No</x:v>
      </x:c>
      <x:c r="R248" s="6"/>
    </x:row>
    <x:row r="249">
      <x:c r="A249" t="str">
        <x:v>L-0248</x:v>
      </x:c>
      <x:c r="B249" t="str">
        <x:v>Harper</x:v>
      </x:c>
      <x:c r="C249" t="str">
        <x:v>Thompson</x:v>
      </x:c>
      <x:c r="D249" t="str">
        <x:v>Horizon Bio</x:v>
      </x:c>
      <x:c r="E249" t="str">
        <x:v>harper.thompson19@northmail.com</x:v>
      </x:c>
      <x:c r="F249" t="str">
        <x:v>(605) 319-1217</x:v>
      </x:c>
      <x:c r="G249" t="str">
        <x:v>CA</x:v>
      </x:c>
      <x:c r="H249" t="str">
        <x:v> Website </x:v>
      </x:c>
      <x:c r="I249" t="str">
        <x:v>new</x:v>
      </x:c>
      <x:c r="J249" t="str">
        <x:v>alex kim</x:v>
      </x:c>
      <x:c r="K249" s="6" t="n">
        <x:v>46092</x:v>
      </x:c>
      <x:c r="L249" s="6" t="n">
        <x:v>46158</x:v>
      </x:c>
      <x:c r="M249" s="6" t="n">
        <x:v>46182</x:v>
      </x:c>
      <x:c r="N249" s="8" t="n">
        <x:v>11300</x:v>
      </x:c>
      <x:c r="O249" t="str">
        <x:v>Biotech</x:v>
      </x:c>
      <x:c r="P249" t="str">
        <x:v>No</x:v>
      </x:c>
      <x:c r="Q249" t="str">
        <x:v>No</x:v>
      </x:c>
      <x:c r="R249" s="6"/>
    </x:row>
    <x:row r="250">
      <x:c r="A250" t="str">
        <x:v>L-0249</x:v>
      </x:c>
      <x:c r="B250" t="str">
        <x:v>Emma</x:v>
      </x:c>
      <x:c r="C250" t="str">
        <x:v>Smith</x:v>
      </x:c>
      <x:c r="D250" t="str">
        <x:v>Apex Manufacturing</x:v>
      </x:c>
      <x:c r="E250" t="str">
        <x:v> emma.smith248@mailhub.net </x:v>
      </x:c>
      <x:c r="F250" t="str">
        <x:v>(842) 751-4127</x:v>
      </x:c>
      <x:c r="G250" t="str">
        <x:v>CO</x:v>
      </x:c>
      <x:c r="H250" t="str">
        <x:v>linkedin</x:v>
      </x:c>
      <x:c r="I250" t="str">
        <x:v>New</x:v>
      </x:c>
      <x:c r="J250" t="str">
        <x:v>Jamie Brooks</x:v>
      </x:c>
      <x:c r="K250" s="6" t="n">
        <x:v>46240</x:v>
      </x:c>
      <x:c r="L250" s="6" t="n">
        <x:v>46243</x:v>
      </x:c>
      <x:c r="M250" s="6" t="n">
        <x:v>46261</x:v>
      </x:c>
      <x:c r="N250" s="8" t="n">
        <x:v>56000</x:v>
      </x:c>
      <x:c r="O250" t="str">
        <x:v>Technology</x:v>
      </x:c>
      <x:c r="P250" t="str">
        <x:v>No</x:v>
      </x:c>
      <x:c r="Q250" t="str">
        <x:v>No</x:v>
      </x:c>
      <x:c r="R250" s="6"/>
    </x:row>
    <x:row r="251">
      <x:c r="A251" t="str">
        <x:v>L-0250</x:v>
      </x:c>
      <x:c r="B251" t="str">
        <x:v>Amelia</x:v>
      </x:c>
      <x:c r="C251" t="str">
        <x:v>Johnson</x:v>
      </x:c>
      <x:c r="D251" t="str">
        <x:v>Redstone Consulting</x:v>
      </x:c>
      <x:c r="E251" t="str">
        <x:v>amelia.johnson749@prospect.co</x:v>
      </x:c>
      <x:c r="F251" t="str">
        <x:v>238-699-7548</x:v>
      </x:c>
      <x:c r="G251" t="str">
        <x:v>TX</x:v>
      </x:c>
      <x:c r="H251" t="str">
        <x:v>Linked In</x:v>
      </x:c>
      <x:c r="I251" t="str">
        <x:v>opportunity</x:v>
      </x:c>
      <x:c r="J251" t="str">
        <x:v>alex kim</x:v>
      </x:c>
      <x:c r="K251" s="6" t="n">
        <x:v>46140</x:v>
      </x:c>
      <x:c r="L251" s="6" t="n">
        <x:v>46248</x:v>
      </x:c>
      <x:c r="M251" s="6" t="n">
        <x:v>46266</x:v>
      </x:c>
      <x:c r="N251" s="8" t="n">
        <x:v>63300</x:v>
      </x:c>
      <x:c r="O251" t="str">
        <x:v>Healthcare</x:v>
      </x:c>
      <x:c r="P251" t="str">
        <x:v>Yes</x:v>
      </x:c>
      <x:c r="Q251" t="str">
        <x:v>No</x:v>
      </x:c>
      <x:c r="R251" s="6"/>
    </x:row>
    <x:row r="252">
      <x:c r="A252" t="str">
        <x:v>L-0251</x:v>
      </x:c>
      <x:c r="B252" t="str">
        <x:v>Henry</x:v>
      </x:c>
      <x:c r="C252" t="str">
        <x:v>Anderson</x:v>
      </x:c>
      <x:c r="D252" t="str">
        <x:v>Prairie Health</x:v>
      </x:c>
      <x:c r="E252" t="str">
        <x:v>henry.anderson602@prospect.co</x:v>
      </x:c>
      <x:c r="F252" t="str">
        <x:v>(817) 932-8675</x:v>
      </x:c>
      <x:c r="G252" t="str">
        <x:v>CO</x:v>
      </x:c>
      <x:c r="H252" t="str">
        <x:v>WEB</x:v>
      </x:c>
      <x:c r="I252" t="str">
        <x:v>OPP</x:v>
      </x:c>
      <x:c r="J252" t="str">
        <x:v>Taylor Morgan</x:v>
      </x:c>
      <x:c r="K252" s="6" t="n">
        <x:v>46126</x:v>
      </x:c>
      <x:c r="L252" s="6" t="n">
        <x:v>46170</x:v>
      </x:c>
      <x:c r="M252" s="6" t="n">
        <x:v>46187</x:v>
      </x:c>
      <x:c r="N252" s="8" t="n">
        <x:v>21600</x:v>
      </x:c>
      <x:c r="O252" t="str">
        <x:v>Professional Services</x:v>
      </x:c>
      <x:c r="P252" t="str">
        <x:v>Yes</x:v>
      </x:c>
      <x:c r="Q252" t="str">
        <x:v>No</x:v>
      </x:c>
      <x:c r="R252" s="6"/>
    </x:row>
    <x:row r="253">
      <x:c r="A253" t="str">
        <x:v>L-0252</x:v>
      </x:c>
      <x:c r="B253" t="str">
        <x:v>benjamin</x:v>
      </x:c>
      <x:c r="C253" t="str">
        <x:v>Jones</x:v>
      </x:c>
      <x:c r="D253" t="str">
        <x:v>CedarWorks</x:v>
      </x:c>
      <x:c r="E253" t="str">
        <x:v>benjamin.jones49@northmail.com</x:v>
      </x:c>
      <x:c r="F253" t="str">
        <x:v>(568) 467-6849</x:v>
      </x:c>
      <x:c r="G253" t="str">
        <x:v>CA</x:v>
      </x:c>
      <x:c r="H253" t="str">
        <x:v>trade show</x:v>
      </x:c>
      <x:c r="I253" t="str">
        <x:v>New</x:v>
      </x:c>
      <x:c r="J253" t="str">
        <x:v>Alex Kim</x:v>
      </x:c>
      <x:c r="K253" s="6" t="n">
        <x:v>46140</x:v>
      </x:c>
      <x:c r="L253" s="6" t="n">
        <x:v>46203</x:v>
      </x:c>
      <x:c r="M253" s="6" t="n">
        <x:v>46215</x:v>
      </x:c>
      <x:c r="N253" s="8" t="n">
        <x:v>21900</x:v>
      </x:c>
      <x:c r="O253" t="str">
        <x:v>Retail</x:v>
      </x:c>
      <x:c r="P253" t="str">
        <x:v>No</x:v>
      </x:c>
      <x:c r="Q253" t="str">
        <x:v>No</x:v>
      </x:c>
      <x:c r="R253" s="6"/>
    </x:row>
    <x:row r="254">
      <x:c r="A254" t="str">
        <x:v>L-0253</x:v>
      </x:c>
      <x:c r="B254" t="str">
        <x:v>Elijah</x:v>
      </x:c>
      <x:c r="C254" t="str">
        <x:v>Rodriguez</x:v>
      </x:c>
      <x:c r="D254" t="str">
        <x:v>Blue Ridge Supply</x:v>
      </x:c>
      <x:c r="E254" t="str">
        <x:v>elijah.rodriguez999@northmail.com</x:v>
      </x:c>
      <x:c r="F254" t="str">
        <x:v>(826) 824-2669</x:v>
      </x:c>
      <x:c r="G254" t="str">
        <x:v>PA</x:v>
      </x:c>
      <x:c r="H254" t="str">
        <x:v>website</x:v>
      </x:c>
      <x:c r="I254" t="str">
        <x:v>LOST</x:v>
      </x:c>
      <x:c r="J254" t="str"/>
      <x:c r="K254" s="6" t="n">
        <x:v>46042</x:v>
      </x:c>
      <x:c r="L254" s="6" t="n">
        <x:v>46159</x:v>
      </x:c>
      <x:c r="M254" s="6"/>
      <x:c r="N254" s="8" t="n">
        <x:v>81900</x:v>
      </x:c>
      <x:c r="O254" t="str">
        <x:v>Technology</x:v>
      </x:c>
      <x:c r="P254" t="str">
        <x:v>Yes</x:v>
      </x:c>
      <x:c r="Q254" t="str">
        <x:v>No</x:v>
      </x:c>
      <x:c r="R254" s="6" t="n">
        <x:v>46161</x:v>
      </x:c>
    </x:row>
    <x:row r="255">
      <x:c r="A255" t="str">
        <x:v>L-0254</x:v>
      </x:c>
      <x:c r="B255" t="str">
        <x:v>Isabella</x:v>
      </x:c>
      <x:c r="C255" t="str">
        <x:v>Jones</x:v>
      </x:c>
      <x:c r="D255" t="str">
        <x:v>Summit Analytics</x:v>
      </x:c>
      <x:c r="E255" t="str">
        <x:v>isabella.jones350@prospect.co</x:v>
      </x:c>
      <x:c r="F255" t="str">
        <x:v>(718) 375-2396</x:v>
      </x:c>
      <x:c r="G255" t="str">
        <x:v>NC</x:v>
      </x:c>
      <x:c r="H255" t="str">
        <x:v>Cold Outreach</x:v>
      </x:c>
      <x:c r="I255" t="str">
        <x:v>WON</x:v>
      </x:c>
      <x:c r="J255" t="str">
        <x:v>Morgan Reed</x:v>
      </x:c>
      <x:c r="K255" s="6" t="n">
        <x:v>46245</x:v>
      </x:c>
      <x:c r="L255" s="6" t="n">
        <x:v>46246</x:v>
      </x:c>
      <x:c r="M255" s="6"/>
      <x:c r="N255" s="8" t="n">
        <x:v>71400</x:v>
      </x:c>
      <x:c r="O255" t="str">
        <x:v>Retail</x:v>
      </x:c>
      <x:c r="P255" t="str">
        <x:v>Yes</x:v>
      </x:c>
      <x:c r="Q255" t="str">
        <x:v>Yes</x:v>
      </x:c>
      <x:c r="R255" s="6" t="n">
        <x:v>46251</x:v>
      </x:c>
    </x:row>
    <x:row r="256">
      <x:c r="A256" t="str">
        <x:v>L-0255</x:v>
      </x:c>
      <x:c r="B256" t="str">
        <x:v>Harper</x:v>
      </x:c>
      <x:c r="C256" t="str">
        <x:v>Jones</x:v>
      </x:c>
      <x:c r="D256" t="str">
        <x:v>Northstar Labs</x:v>
      </x:c>
      <x:c r="E256" t="str">
        <x:v>harper.jones677@examplebiz.com</x:v>
      </x:c>
      <x:c r="F256" t="str">
        <x:v>(789) 259-9516</x:v>
      </x:c>
      <x:c r="G256" t="str">
        <x:v>TX</x:v>
      </x:c>
      <x:c r="H256" t="str">
        <x:v>referral</x:v>
      </x:c>
      <x:c r="I256" t="str">
        <x:v>Contact</x:v>
      </x:c>
      <x:c r="J256" t="str">
        <x:v>Jordan Lee</x:v>
      </x:c>
      <x:c r="K256" s="6" t="n">
        <x:v>46049</x:v>
      </x:c>
      <x:c r="L256" s="6" t="n">
        <x:v>46091</x:v>
      </x:c>
      <x:c r="M256" s="6" t="n">
        <x:v>46107</x:v>
      </x:c>
      <x:c r="N256" s="8" t="n">
        <x:v>7600</x:v>
      </x:c>
      <x:c r="O256" t="str">
        <x:v>Technology</x:v>
      </x:c>
      <x:c r="P256" t="str">
        <x:v>No</x:v>
      </x:c>
      <x:c r="Q256" t="str">
        <x:v>No</x:v>
      </x:c>
      <x:c r="R256" s="6"/>
    </x:row>
    <x:row r="257">
      <x:c r="A257" t="str">
        <x:v>L-0256</x:v>
      </x:c>
      <x:c r="B257" t="str">
        <x:v>Olivia</x:v>
      </x:c>
      <x:c r="C257" t="str">
        <x:v>Lee</x:v>
      </x:c>
      <x:c r="D257" t="str">
        <x:v>Prairie Health</x:v>
      </x:c>
      <x:c r="E257" t="str">
        <x:v>amelia.johnson749@prospect.co</x:v>
      </x:c>
      <x:c r="F257" t="str">
        <x:v>(733) 753-5651</x:v>
      </x:c>
      <x:c r="G257" t="str">
        <x:v>OH</x:v>
      </x:c>
      <x:c r="H257" t="str">
        <x:v>Referral</x:v>
      </x:c>
      <x:c r="I257" t="str">
        <x:v>NEW</x:v>
      </x:c>
      <x:c r="J257" t="str">
        <x:v>MORGAN REED</x:v>
      </x:c>
      <x:c r="K257" s="6" t="n">
        <x:v>46169</x:v>
      </x:c>
      <x:c r="L257" s="6" t="n">
        <x:v>46179</x:v>
      </x:c>
      <x:c r="M257" s="6" t="n">
        <x:v>46183</x:v>
      </x:c>
      <x:c r="N257" s="8" t="n">
        <x:v>46800</x:v>
      </x:c>
      <x:c r="O257" t="str">
        <x:v>Biotech</x:v>
      </x:c>
      <x:c r="P257" t="str">
        <x:v>No</x:v>
      </x:c>
      <x:c r="Q257" t="str">
        <x:v>No</x:v>
      </x:c>
      <x:c r="R257" s="6"/>
    </x:row>
    <x:row r="258">
      <x:c r="A258" t="str">
        <x:v>L-0257</x:v>
      </x:c>
      <x:c r="B258" t="str">
        <x:v>Logan</x:v>
      </x:c>
      <x:c r="C258" t="str">
        <x:v>Rodriguez</x:v>
      </x:c>
      <x:c r="D258" t="str">
        <x:v>Pioneer Tech</x:v>
      </x:c>
      <x:c r="E258" t="str">
        <x:v>logan.rodriguez465@prospect.co</x:v>
      </x:c>
      <x:c r="F258" t="str">
        <x:v>(442) 963-9737</x:v>
      </x:c>
      <x:c r="G258" t="str">
        <x:v>CO</x:v>
      </x:c>
      <x:c r="H258" t="str">
        <x:v>LINKEDIN</x:v>
      </x:c>
      <x:c r="I258" t="str">
        <x:v>Closed-Lost</x:v>
      </x:c>
      <x:c r="J258" t="str">
        <x:v>jordan lee</x:v>
      </x:c>
      <x:c r="K258" s="6" t="n">
        <x:v>46132</x:v>
      </x:c>
      <x:c r="L258" s="6" t="n">
        <x:v>46170</x:v>
      </x:c>
      <x:c r="M258" s="6"/>
      <x:c r="N258" s="8" t="n">
        <x:v>49700</x:v>
      </x:c>
      <x:c r="O258" t="str">
        <x:v>Technology</x:v>
      </x:c>
      <x:c r="P258" t="str">
        <x:v>Yes</x:v>
      </x:c>
      <x:c r="Q258" t="str">
        <x:v>No</x:v>
      </x:c>
      <x:c r="R258" s="6" t="n">
        <x:v>46172</x:v>
      </x:c>
    </x:row>
    <x:row r="259">
      <x:c r="A259" t="str">
        <x:v>L-0258</x:v>
      </x:c>
      <x:c r="B259" t="str">
        <x:v> James </x:v>
      </x:c>
      <x:c r="C259" t="str">
        <x:v>Taylor</x:v>
      </x:c>
      <x:c r="D259" t="str">
        <x:v>BrightPath Health</x:v>
      </x:c>
      <x:c r="E259" t="str">
        <x:v>james.taylor413@mailhub.net</x:v>
      </x:c>
      <x:c r="F259" t="str">
        <x:v>(471) 798-9172</x:v>
      </x:c>
      <x:c r="G259" t="str">
        <x:v>CO</x:v>
      </x:c>
      <x:c r="H259" t="str">
        <x:v>WEBINAR</x:v>
      </x:c>
      <x:c r="I259" t="str">
        <x:v>NEW</x:v>
      </x:c>
      <x:c r="J259" t="str">
        <x:v>alex kim</x:v>
      </x:c>
      <x:c r="K259" s="6" t="n">
        <x:v>46192</x:v>
      </x:c>
      <x:c r="L259" s="6" t="n">
        <x:v>46220</x:v>
      </x:c>
      <x:c r="M259" s="6" t="n">
        <x:v>46225</x:v>
      </x:c>
      <x:c r="N259" s="8" t="n">
        <x:v>33000</x:v>
      </x:c>
      <x:c r="O259" t="str">
        <x:v>Technology</x:v>
      </x:c>
      <x:c r="P259" t="str">
        <x:v>No</x:v>
      </x:c>
      <x:c r="Q259" t="str">
        <x:v>No</x:v>
      </x:c>
      <x:c r="R259" s="6"/>
    </x:row>
    <x:row r="260">
      <x:c r="A260" t="str">
        <x:v>L-0259</x:v>
      </x:c>
      <x:c r="B260" t="str">
        <x:v>Olivia</x:v>
      </x:c>
      <x:c r="C260" t="str">
        <x:v>MOORE</x:v>
      </x:c>
      <x:c r="D260" t="str">
        <x:v>Atlas Commerce</x:v>
      </x:c>
      <x:c r="E260" t="str">
        <x:v>olivia.moore297@northmail.com</x:v>
      </x:c>
      <x:c r="F260" t="str">
        <x:v>(736) 356-2929</x:v>
      </x:c>
      <x:c r="G260" t="str">
        <x:v>PA</x:v>
      </x:c>
      <x:c r="H260" t="str">
        <x:v> Website </x:v>
      </x:c>
      <x:c r="I260" t="str">
        <x:v>Qualified</x:v>
      </x:c>
      <x:c r="J260" t="str">
        <x:v>alex kim</x:v>
      </x:c>
      <x:c r="K260" s="6" t="n">
        <x:v>46216</x:v>
      </x:c>
      <x:c r="L260" s="6" t="n">
        <x:v>46242</x:v>
      </x:c>
      <x:c r="M260" s="6" t="n">
        <x:v>46248</x:v>
      </x:c>
      <x:c r="N260" s="8" t="n">
        <x:v>12500</x:v>
      </x:c>
      <x:c r="O260" t="str">
        <x:v>Healthcare</x:v>
      </x:c>
      <x:c r="P260" t="str">
        <x:v>Yes</x:v>
      </x:c>
      <x:c r="Q260" t="str">
        <x:v>No</x:v>
      </x:c>
      <x:c r="R260" s="6"/>
    </x:row>
    <x:row r="261">
      <x:c r="A261" t="str">
        <x:v>L-0260</x:v>
      </x:c>
      <x:c r="B261" t="str">
        <x:v>Logan</x:v>
      </x:c>
      <x:c r="C261" t="str">
        <x:v>Williams</x:v>
      </x:c>
      <x:c r="D261" t="str">
        <x:v>Peakline Systems</x:v>
      </x:c>
      <x:c r="E261" t="str">
        <x:v>logan.williams136@examplebiz.com</x:v>
      </x:c>
      <x:c r="F261" t="str">
        <x:v>717-851-8551</x:v>
      </x:c>
      <x:c r="G261" t="str">
        <x:v>NC</x:v>
      </x:c>
      <x:c r="H261" t="str">
        <x:v>TRADE SHOW</x:v>
      </x:c>
      <x:c r="I261" t="str">
        <x:v>QUALIFIED</x:v>
      </x:c>
      <x:c r="J261" t="str">
        <x:v>Alex Kim</x:v>
      </x:c>
      <x:c r="K261" s="6" t="n">
        <x:v>46160</x:v>
      </x:c>
      <x:c r="L261" s="6" t="n">
        <x:v>46208</x:v>
      </x:c>
      <x:c r="M261" s="6" t="n">
        <x:v>46226</x:v>
      </x:c>
      <x:c r="N261" s="8" t="n">
        <x:v>71300</x:v>
      </x:c>
      <x:c r="O261" t="str">
        <x:v>Professional Services</x:v>
      </x:c>
      <x:c r="P261" t="str">
        <x:v>Yes</x:v>
      </x:c>
      <x:c r="Q261" t="str">
        <x:v>No</x:v>
      </x:c>
      <x:c r="R261" s="6"/>
    </x:row>
    <x:row r="262">
      <x:c r="A262" t="str">
        <x:v>L-0261</x:v>
      </x:c>
      <x:c r="B262" t="str">
        <x:v>Ethan</x:v>
      </x:c>
      <x:c r="C262" t="str">
        <x:v>Smith</x:v>
      </x:c>
      <x:c r="D262" t="str">
        <x:v>Evergreen Services</x:v>
      </x:c>
      <x:c r="E262" t="str">
        <x:v>ethan.smith535@examplebiz.com</x:v>
      </x:c>
      <x:c r="F262" t="str">
        <x:v>(969) 687-9235</x:v>
      </x:c>
      <x:c r="G262" t="str">
        <x:v>OH</x:v>
      </x:c>
      <x:c r="H262" t="str">
        <x:v>trade show</x:v>
      </x:c>
      <x:c r="I262" t="str">
        <x:v>new</x:v>
      </x:c>
      <x:c r="J262" t="str">
        <x:v>Alex Kim</x:v>
      </x:c>
      <x:c r="K262" s="6" t="n">
        <x:v>46088</x:v>
      </x:c>
      <x:c r="L262" s="6" t="n">
        <x:v>46226</x:v>
      </x:c>
      <x:c r="M262" s="6" t="n">
        <x:v>46247</x:v>
      </x:c>
      <x:c r="N262" s="8" t="n">
        <x:v>65000</x:v>
      </x:c>
      <x:c r="O262" t="str">
        <x:v>Technology</x:v>
      </x:c>
      <x:c r="P262" t="str">
        <x:v>No</x:v>
      </x:c>
      <x:c r="Q262" t="str">
        <x:v>No</x:v>
      </x:c>
      <x:c r="R262" s="6"/>
    </x:row>
    <x:row r="263">
      <x:c r="A263" t="str">
        <x:v>L-0262</x:v>
      </x:c>
      <x:c r="B263" t="str">
        <x:v> Benjamin </x:v>
      </x:c>
      <x:c r="C263" t="str">
        <x:v>Smith</x:v>
      </x:c>
      <x:c r="D263" t="str">
        <x:v>Redstone Consulting</x:v>
      </x:c>
      <x:c r="E263" t="str">
        <x:v> benjamin.smith102@examplebiz.com </x:v>
      </x:c>
      <x:c r="F263" t="str">
        <x:v>(493) 347-3992</x:v>
      </x:c>
      <x:c r="G263" t="str">
        <x:v>CA</x:v>
      </x:c>
      <x:c r="H263" t="str">
        <x:v>REFERRAL</x:v>
      </x:c>
      <x:c r="I263" t="str">
        <x:v>WON</x:v>
      </x:c>
      <x:c r="J263" t="str">
        <x:v>Jordan Lee</x:v>
      </x:c>
      <x:c r="K263" s="6" t="n">
        <x:v>46165</x:v>
      </x:c>
      <x:c r="L263" s="6" t="n">
        <x:v>46213</x:v>
      </x:c>
      <x:c r="M263" s="6"/>
      <x:c r="N263" s="8" t="n">
        <x:v>23700</x:v>
      </x:c>
      <x:c r="O263" t="str">
        <x:v>Professional Services</x:v>
      </x:c>
      <x:c r="P263" t="str">
        <x:v>Yes</x:v>
      </x:c>
      <x:c r="Q263" t="str">
        <x:v>Yes</x:v>
      </x:c>
      <x:c r="R263" s="6" t="n">
        <x:v>46218</x:v>
      </x:c>
    </x:row>
    <x:row r="264">
      <x:c r="A264" t="str">
        <x:v>L-0263</x:v>
      </x:c>
      <x:c r="B264" t="str">
        <x:v>Noah</x:v>
      </x:c>
      <x:c r="C264" t="str">
        <x:v>johnson</x:v>
      </x:c>
      <x:c r="D264" t="str"/>
      <x:c r="E264" t="str">
        <x:v>noah.johnson63@prospect.co</x:v>
      </x:c>
      <x:c r="F264" t="str">
        <x:v>(676) 766-7669</x:v>
      </x:c>
      <x:c r="G264" t="str">
        <x:v>WA</x:v>
      </x:c>
      <x:c r="H264" t="str">
        <x:v>Tradeshow</x:v>
      </x:c>
      <x:c r="I264" t="str">
        <x:v>QUALIFIED</x:v>
      </x:c>
      <x:c r="J264" t="str"/>
      <x:c r="K264" s="6" t="n">
        <x:v>46054</x:v>
      </x:c>
      <x:c r="L264" s="6" t="n">
        <x:v>46183</x:v>
      </x:c>
      <x:c r="M264" s="6" t="n">
        <x:v>46198</x:v>
      </x:c>
      <x:c r="N264" s="8" t="n">
        <x:v>80800</x:v>
      </x:c>
      <x:c r="O264" t="str">
        <x:v>Retail</x:v>
      </x:c>
      <x:c r="P264" t="str">
        <x:v>Yes</x:v>
      </x:c>
      <x:c r="Q264" t="str">
        <x:v>No</x:v>
      </x:c>
      <x:c r="R264" s="6"/>
    </x:row>
    <x:row r="265">
      <x:c r="A265" t="str">
        <x:v>L-0264</x:v>
      </x:c>
      <x:c r="B265" t="str">
        <x:v>Luna</x:v>
      </x:c>
      <x:c r="C265" t="str">
        <x:v>Taylor</x:v>
      </x:c>
      <x:c r="D265" t="str"/>
      <x:c r="E265" t="str">
        <x:v>luna.taylor801@examplebiz.com</x:v>
      </x:c>
      <x:c r="F265" t="str">
        <x:v>(751) 633-8401</x:v>
      </x:c>
      <x:c r="G265" t="str">
        <x:v>OH</x:v>
      </x:c>
      <x:c r="H265" t="str">
        <x:v>webinar</x:v>
      </x:c>
      <x:c r="I265" t="str">
        <x:v>WON</x:v>
      </x:c>
      <x:c r="J265" t="str">
        <x:v>Taylor Morgan</x:v>
      </x:c>
      <x:c r="K265" s="6" t="n">
        <x:v>46210</x:v>
      </x:c>
      <x:c r="L265" s="6" t="n">
        <x:v>46233</x:v>
      </x:c>
      <x:c r="M265" s="6"/>
      <x:c r="N265" s="8" t="n">
        <x:v>47100</x:v>
      </x:c>
      <x:c r="O265" t="str">
        <x:v>Technology</x:v>
      </x:c>
      <x:c r="P265" t="str">
        <x:v>Yes</x:v>
      </x:c>
      <x:c r="Q265" t="str">
        <x:v>Yes</x:v>
      </x:c>
      <x:c r="R265" s="6" t="n">
        <x:v>46233</x:v>
      </x:c>
    </x:row>
    <x:row r="266">
      <x:c r="A266" t="str">
        <x:v>L-0265</x:v>
      </x:c>
      <x:c r="B266" t="str">
        <x:v>Olivia</x:v>
      </x:c>
      <x:c r="C266" t="str">
        <x:v>Perez</x:v>
      </x:c>
      <x:c r="D266" t="str">
        <x:v>Evergreen Services</x:v>
      </x:c>
      <x:c r="E266" t="str">
        <x:v>olivia.perez743@prospect.co</x:v>
      </x:c>
      <x:c r="F266" t="str">
        <x:v>(643) 415-9270</x:v>
      </x:c>
      <x:c r="G266" t="str">
        <x:v>CA</x:v>
      </x:c>
      <x:c r="H266" t="str">
        <x:v>LINKEDIN</x:v>
      </x:c>
      <x:c r="I266" t="str">
        <x:v>Qualified</x:v>
      </x:c>
      <x:c r="J266" t="str">
        <x:v>Taylor Morgan</x:v>
      </x:c>
      <x:c r="K266" s="6" t="n">
        <x:v>46170</x:v>
      </x:c>
      <x:c r="L266" s="6" t="n">
        <x:v>46181</x:v>
      </x:c>
      <x:c r="M266" s="6" t="n">
        <x:v>46196</x:v>
      </x:c>
      <x:c r="N266" s="8" t="n">
        <x:v>60100</x:v>
      </x:c>
      <x:c r="O266" t="str">
        <x:v>Healthcare</x:v>
      </x:c>
      <x:c r="P266" t="str">
        <x:v>Yes</x:v>
      </x:c>
      <x:c r="Q266" t="str">
        <x:v>No</x:v>
      </x:c>
      <x:c r="R266" s="6"/>
    </x:row>
    <x:row r="267">
      <x:c r="A267" t="str">
        <x:v>L-0266</x:v>
      </x:c>
      <x:c r="B267" t="str">
        <x:v>Emma</x:v>
      </x:c>
      <x:c r="C267" t="str">
        <x:v>Smith</x:v>
      </x:c>
      <x:c r="D267" t="str">
        <x:v>ATLAS COMMERCE</x:v>
      </x:c>
      <x:c r="E267" t="str">
        <x:v>emma.smith84@northmail.com</x:v>
      </x:c>
      <x:c r="F267" t="str">
        <x:v>(752) 231-8293</x:v>
      </x:c>
      <x:c r="G267" t="str">
        <x:v>CO</x:v>
      </x:c>
      <x:c r="H267" t="str">
        <x:v>Linked In</x:v>
      </x:c>
      <x:c r="I267" t="str">
        <x:v>Contacted</x:v>
      </x:c>
      <x:c r="J267" t="str">
        <x:v>Alex Kim</x:v>
      </x:c>
      <x:c r="K267" s="6" t="n">
        <x:v>46068</x:v>
      </x:c>
      <x:c r="L267" s="6" t="n">
        <x:v>46248</x:v>
      </x:c>
      <x:c r="M267" s="6" t="n">
        <x:v>46266</x:v>
      </x:c>
      <x:c r="N267" s="8" t="n">
        <x:v>65400</x:v>
      </x:c>
      <x:c r="O267" t="str">
        <x:v>Healthcare</x:v>
      </x:c>
      <x:c r="P267" t="str">
        <x:v>No</x:v>
      </x:c>
      <x:c r="Q267" t="str">
        <x:v>No</x:v>
      </x:c>
      <x:c r="R267" s="6"/>
    </x:row>
    <x:row r="268">
      <x:c r="A268" t="str">
        <x:v>L-0267</x:v>
      </x:c>
      <x:c r="B268" t="str">
        <x:v>Ava</x:v>
      </x:c>
      <x:c r="C268" t="str">
        <x:v>Rodriguez</x:v>
      </x:c>
      <x:c r="D268" t="str">
        <x:v>Pioneer Tech</x:v>
      </x:c>
      <x:c r="E268" t="str">
        <x:v>ava.rodriguez991@prospect.co</x:v>
      </x:c>
      <x:c r="F268" t="str">
        <x:v>(238) 487-9074</x:v>
      </x:c>
      <x:c r="G268" t="str">
        <x:v>TX</x:v>
      </x:c>
      <x:c r="H268" t="str">
        <x:v>email campaign</x:v>
      </x:c>
      <x:c r="I268" t="str">
        <x:v>Opportunity</x:v>
      </x:c>
      <x:c r="J268" t="str">
        <x:v>Morgan Reed</x:v>
      </x:c>
      <x:c r="K268" s="6" t="n">
        <x:v>46040</x:v>
      </x:c>
      <x:c r="L268" s="6" t="n">
        <x:v>46223</x:v>
      </x:c>
      <x:c r="M268" s="6" t="n">
        <x:v>46233</x:v>
      </x:c>
      <x:c r="N268" s="8" t="n">
        <x:v>21800</x:v>
      </x:c>
      <x:c r="O268" t="str">
        <x:v>Retail</x:v>
      </x:c>
      <x:c r="P268" t="str">
        <x:v>Yes</x:v>
      </x:c>
      <x:c r="Q268" t="str">
        <x:v>No</x:v>
      </x:c>
      <x:c r="R268" s="6"/>
    </x:row>
    <x:row r="269">
      <x:c r="A269" t="str">
        <x:v>L-0268</x:v>
      </x:c>
      <x:c r="B269" t="str">
        <x:v>Mia</x:v>
      </x:c>
      <x:c r="C269" t="str">
        <x:v>Jones</x:v>
      </x:c>
      <x:c r="D269" t="str">
        <x:v>HORIZON BIO</x:v>
      </x:c>
      <x:c r="E269" t="str">
        <x:v>mia.jones259@mailhub.net</x:v>
      </x:c>
      <x:c r="F269" t="str">
        <x:v>203-637-1849</x:v>
      </x:c>
      <x:c r="G269" t="str">
        <x:v>GA</x:v>
      </x:c>
      <x:c r="H269" t="str">
        <x:v>Linked In</x:v>
      </x:c>
      <x:c r="I269" t="str">
        <x:v>Contact</x:v>
      </x:c>
      <x:c r="J269" t="str">
        <x:v>Alex Kim</x:v>
      </x:c>
      <x:c r="K269" s="6" t="n">
        <x:v>46073</x:v>
      </x:c>
      <x:c r="L269" s="6" t="n">
        <x:v>46078</x:v>
      </x:c>
      <x:c r="M269" s="6" t="n">
        <x:v>46103</x:v>
      </x:c>
      <x:c r="N269" s="8" t="n">
        <x:v>58400</x:v>
      </x:c>
      <x:c r="O269" t="str">
        <x:v>Retail</x:v>
      </x:c>
      <x:c r="P269" t="str">
        <x:v>No</x:v>
      </x:c>
      <x:c r="Q269" t="str">
        <x:v>No</x:v>
      </x:c>
      <x:c r="R269" s="6"/>
    </x:row>
    <x:row r="270">
      <x:c r="A270" t="str">
        <x:v>L-0269</x:v>
      </x:c>
      <x:c r="B270" t="str">
        <x:v>Amelia</x:v>
      </x:c>
      <x:c r="C270" t="str">
        <x:v>Miller</x:v>
      </x:c>
      <x:c r="D270" t="str">
        <x:v>Redstone Consulting</x:v>
      </x:c>
      <x:c r="E270" t="str">
        <x:v>amelia.miller940@examplebiz.com</x:v>
      </x:c>
      <x:c r="F270" t="str">
        <x:v>(402) 368-6394</x:v>
      </x:c>
      <x:c r="G270" t="str">
        <x:v>WA</x:v>
      </x:c>
      <x:c r="H270" t="str">
        <x:v>EMAIL</x:v>
      </x:c>
      <x:c r="I270" t="str">
        <x:v>closed lost</x:v>
      </x:c>
      <x:c r="J270" t="str">
        <x:v>Jordan Lee</x:v>
      </x:c>
      <x:c r="K270" s="6" t="n">
        <x:v>46189</x:v>
      </x:c>
      <x:c r="L270" s="6" t="n">
        <x:v>46251</x:v>
      </x:c>
      <x:c r="M270" s="6"/>
      <x:c r="N270" s="8" t="n">
        <x:v>59400</x:v>
      </x:c>
      <x:c r="O270" t="str">
        <x:v>Technology</x:v>
      </x:c>
      <x:c r="P270" t="str">
        <x:v>Yes</x:v>
      </x:c>
      <x:c r="Q270" t="str">
        <x:v>No</x:v>
      </x:c>
      <x:c r="R270" s="6" t="n">
        <x:v>46251</x:v>
      </x:c>
    </x:row>
    <x:row r="271">
      <x:c r="A271" t="str">
        <x:v>L-0270</x:v>
      </x:c>
      <x:c r="B271" t="str">
        <x:v>Henry</x:v>
      </x:c>
      <x:c r="C271" t="str">
        <x:v>thompson</x:v>
      </x:c>
      <x:c r="D271" t="str">
        <x:v>Prairie Health</x:v>
      </x:c>
      <x:c r="E271" t="str">
        <x:v>henry.thompson67@examplebiz.com</x:v>
      </x:c>
      <x:c r="F271" t="str">
        <x:v>(264) 652-1897</x:v>
      </x:c>
      <x:c r="G271" t="str">
        <x:v>OH</x:v>
      </x:c>
      <x:c r="H271" t="str">
        <x:v>WEBINAR</x:v>
      </x:c>
      <x:c r="I271" t="str">
        <x:v>NEW</x:v>
      </x:c>
      <x:c r="J271" t="str">
        <x:v>JAMIE BROOKS</x:v>
      </x:c>
      <x:c r="K271" s="6" t="n">
        <x:v>46231</x:v>
      </x:c>
      <x:c r="L271" s="6" t="n">
        <x:v>46232</x:v>
      </x:c>
      <x:c r="M271" s="6" t="n">
        <x:v>46247</x:v>
      </x:c>
      <x:c r="N271" s="8" t="n">
        <x:v>28300</x:v>
      </x:c>
      <x:c r="O271" t="str">
        <x:v>Technology</x:v>
      </x:c>
      <x:c r="P271" t="str">
        <x:v>No</x:v>
      </x:c>
      <x:c r="Q271" t="str">
        <x:v>No</x:v>
      </x:c>
      <x:c r="R271" s="6"/>
    </x:row>
    <x:row r="272">
      <x:c r="A272" t="str">
        <x:v>L-0271</x:v>
      </x:c>
      <x:c r="B272" t="str">
        <x:v>Amelia</x:v>
      </x:c>
      <x:c r="C272" t="str">
        <x:v>Moore</x:v>
      </x:c>
      <x:c r="D272" t="str">
        <x:v> Vertex Solutions </x:v>
      </x:c>
      <x:c r="E272" t="str">
        <x:v>amelia.moore111@northmail.com</x:v>
      </x:c>
      <x:c r="F272" t="str">
        <x:v>213-809-2106</x:v>
      </x:c>
      <x:c r="G272" t="str">
        <x:v>IL</x:v>
      </x:c>
      <x:c r="H272" t="str">
        <x:v>linkedin</x:v>
      </x:c>
      <x:c r="I272" t="str">
        <x:v>opportunity</x:v>
      </x:c>
      <x:c r="J272" t="str">
        <x:v>Taylor Morgan</x:v>
      </x:c>
      <x:c r="K272" s="6" t="n">
        <x:v>46240</x:v>
      </x:c>
      <x:c r="L272" s="6" t="n">
        <x:v>46247</x:v>
      </x:c>
      <x:c r="M272" s="6" t="n">
        <x:v>46266</x:v>
      </x:c>
      <x:c r="N272" s="8" t="n">
        <x:v>29600</x:v>
      </x:c>
      <x:c r="O272" t="str">
        <x:v>Technology</x:v>
      </x:c>
      <x:c r="P272" t="str">
        <x:v>Yes</x:v>
      </x:c>
      <x:c r="Q272" t="str">
        <x:v>No</x:v>
      </x:c>
      <x:c r="R272" s="6"/>
    </x:row>
    <x:row r="273">
      <x:c r="A273" t="str">
        <x:v>L-0272</x:v>
      </x:c>
      <x:c r="B273" t="str">
        <x:v> Evelyn </x:v>
      </x:c>
      <x:c r="C273" t="str">
        <x:v>ANDERSON</x:v>
      </x:c>
      <x:c r="D273" t="str">
        <x:v> Evergreen Services </x:v>
      </x:c>
      <x:c r="E273" t="str">
        <x:v>evelyn.anderson695@examplebiz.com</x:v>
      </x:c>
      <x:c r="F273" t="str">
        <x:v>(259) 443-9308</x:v>
      </x:c>
      <x:c r="G273" t="str">
        <x:v>CA</x:v>
      </x:c>
      <x:c r="H273" t="str">
        <x:v>webinar</x:v>
      </x:c>
      <x:c r="I273" t="str">
        <x:v>OPP</x:v>
      </x:c>
      <x:c r="J273" t="str">
        <x:v>Jamie Brooks</x:v>
      </x:c>
      <x:c r="K273" s="6" t="n">
        <x:v>46172</x:v>
      </x:c>
      <x:c r="L273" s="6" t="n">
        <x:v>46219</x:v>
      </x:c>
      <x:c r="M273" s="6" t="n">
        <x:v>46222</x:v>
      </x:c>
      <x:c r="N273" s="8" t="n">
        <x:v>45200</x:v>
      </x:c>
      <x:c r="O273" t="str">
        <x:v>Manufacturing</x:v>
      </x:c>
      <x:c r="P273" t="str">
        <x:v>Yes</x:v>
      </x:c>
      <x:c r="Q273" t="str">
        <x:v>No</x:v>
      </x:c>
      <x:c r="R273" s="6"/>
    </x:row>
    <x:row r="274">
      <x:c r="A274" t="str">
        <x:v>L-0273</x:v>
      </x:c>
      <x:c r="B274" t="str">
        <x:v> Luna </x:v>
      </x:c>
      <x:c r="C274" t="str">
        <x:v> Perez </x:v>
      </x:c>
      <x:c r="D274" t="str">
        <x:v>Redstone Consulting</x:v>
      </x:c>
      <x:c r="E274" t="str">
        <x:v>luna.perez655@examplebiz.com</x:v>
      </x:c>
      <x:c r="F274" t="str">
        <x:v>910-435-8643</x:v>
      </x:c>
      <x:c r="G274" t="str">
        <x:v>AZ</x:v>
      </x:c>
      <x:c r="H274" t="str">
        <x:v>Referral</x:v>
      </x:c>
      <x:c r="I274" t="str">
        <x:v>NEW</x:v>
      </x:c>
      <x:c r="J274" t="str">
        <x:v>jordan lee</x:v>
      </x:c>
      <x:c r="K274" s="6" t="n">
        <x:v>46044</x:v>
      </x:c>
      <x:c r="L274" s="6" t="n">
        <x:v>46054</x:v>
      </x:c>
      <x:c r="M274" s="6" t="n">
        <x:v>46072</x:v>
      </x:c>
      <x:c r="N274" s="8" t="n">
        <x:v>20600</x:v>
      </x:c>
      <x:c r="O274" t="str">
        <x:v>Financial Services</x:v>
      </x:c>
      <x:c r="P274" t="str">
        <x:v>No</x:v>
      </x:c>
      <x:c r="Q274" t="str">
        <x:v>No</x:v>
      </x:c>
      <x:c r="R274" s="6"/>
    </x:row>
    <x:row r="275">
      <x:c r="A275" t="str">
        <x:v>L-0274</x:v>
      </x:c>
      <x:c r="B275" t="str">
        <x:v>Lucas</x:v>
      </x:c>
      <x:c r="C275" t="str">
        <x:v>Moore</x:v>
      </x:c>
      <x:c r="D275" t="str">
        <x:v>Apex Manufacturing</x:v>
      </x:c>
      <x:c r="E275" t="str">
        <x:v>lucas.moore179@prospect.co</x:v>
      </x:c>
      <x:c r="F275" t="str">
        <x:v>(768) 451-3925</x:v>
      </x:c>
      <x:c r="G275" t="str">
        <x:v>CO</x:v>
      </x:c>
      <x:c r="H275" t="str">
        <x:v>OUTBOUND</x:v>
      </x:c>
      <x:c r="I275" t="str">
        <x:v>new</x:v>
      </x:c>
      <x:c r="J275" t="str">
        <x:v>Jamie Brooks</x:v>
      </x:c>
      <x:c r="K275" s="6" t="n">
        <x:v>46174</x:v>
      </x:c>
      <x:c r="L275" s="6" t="n">
        <x:v>46196</x:v>
      </x:c>
      <x:c r="M275" s="6" t="n">
        <x:v>46206</x:v>
      </x:c>
      <x:c r="N275" s="8" t="n">
        <x:v>75500</x:v>
      </x:c>
      <x:c r="O275" t="str">
        <x:v>Biotech</x:v>
      </x:c>
      <x:c r="P275" t="str">
        <x:v>No</x:v>
      </x:c>
      <x:c r="Q275" t="str">
        <x:v>No</x:v>
      </x:c>
      <x:c r="R275" s="6"/>
    </x:row>
    <x:row r="276">
      <x:c r="A276" t="str">
        <x:v>L-0275</x:v>
      </x:c>
      <x:c r="B276" t="str">
        <x:v>Evelyn</x:v>
      </x:c>
      <x:c r="C276" t="str">
        <x:v>THOMPSON</x:v>
      </x:c>
      <x:c r="D276" t="str">
        <x:v>Vertex Solutions</x:v>
      </x:c>
      <x:c r="E276" t="str">
        <x:v>evelyn.thompson712@prospect.co</x:v>
      </x:c>
      <x:c r="F276" t="str">
        <x:v>(526) 813-8037</x:v>
      </x:c>
      <x:c r="G276" t="str">
        <x:v>TX</x:v>
      </x:c>
      <x:c r="H276" t="str">
        <x:v> Website </x:v>
      </x:c>
      <x:c r="I276" t="str">
        <x:v>closed lost</x:v>
      </x:c>
      <x:c r="J276" t="str">
        <x:v>Morgan Reed</x:v>
      </x:c>
      <x:c r="K276" s="6" t="n">
        <x:v>46043</x:v>
      </x:c>
      <x:c r="L276" s="6" t="n">
        <x:v>46091</x:v>
      </x:c>
      <x:c r="M276" s="6"/>
      <x:c r="N276" s="8" t="n">
        <x:v>18300</x:v>
      </x:c>
      <x:c r="O276" t="str">
        <x:v>Technology</x:v>
      </x:c>
      <x:c r="P276" t="str">
        <x:v>Yes</x:v>
      </x:c>
      <x:c r="Q276" t="str">
        <x:v>No</x:v>
      </x:c>
      <x:c r="R276" s="6" t="n">
        <x:v>46093</x:v>
      </x:c>
    </x:row>
    <x:row r="277">
      <x:c r="A277" t="str">
        <x:v>L-0276</x:v>
      </x:c>
      <x:c r="B277" t="str">
        <x:v> Benjamin </x:v>
      </x:c>
      <x:c r="C277" t="str">
        <x:v>Thompson</x:v>
      </x:c>
      <x:c r="D277" t="str">
        <x:v>BrightPath Health</x:v>
      </x:c>
      <x:c r="E277" t="str">
        <x:v>benjamin.thompson476@examplebiz.com</x:v>
      </x:c>
      <x:c r="F277" t="str">
        <x:v>(530) 929-7125</x:v>
      </x:c>
      <x:c r="G277" t="str">
        <x:v>GA</x:v>
      </x:c>
      <x:c r="H277" t="str">
        <x:v> Referal </x:v>
      </x:c>
      <x:c r="I277" t="str">
        <x:v>Closed-Won</x:v>
      </x:c>
      <x:c r="J277" t="str">
        <x:v>Alex Kim</x:v>
      </x:c>
      <x:c r="K277" s="6" t="n">
        <x:v>46054</x:v>
      </x:c>
      <x:c r="L277" s="6" t="n">
        <x:v>46184</x:v>
      </x:c>
      <x:c r="M277" s="6"/>
      <x:c r="N277" s="8" t="n">
        <x:v>33400</x:v>
      </x:c>
      <x:c r="O277" t="str">
        <x:v>Manufacturing</x:v>
      </x:c>
      <x:c r="P277" t="str">
        <x:v>Yes</x:v>
      </x:c>
      <x:c r="Q277" t="str">
        <x:v>Yes</x:v>
      </x:c>
      <x:c r="R277" s="6" t="n">
        <x:v>46184</x:v>
      </x:c>
    </x:row>
    <x:row r="278">
      <x:c r="A278" t="str">
        <x:v>L-0277</x:v>
      </x:c>
      <x:c r="B278" t="str">
        <x:v>LOGAN</x:v>
      </x:c>
      <x:c r="C278" t="str">
        <x:v>Rodriguez</x:v>
      </x:c>
      <x:c r="D278" t="str">
        <x:v>BrightPath Health</x:v>
      </x:c>
      <x:c r="E278" t="str">
        <x:v>logan.rodriguez437@mailhub.net</x:v>
      </x:c>
      <x:c r="F278" t="str"/>
      <x:c r="G278" t="str">
        <x:v>TX</x:v>
      </x:c>
      <x:c r="H278" t="str">
        <x:v>Referral</x:v>
      </x:c>
      <x:c r="I278" t="str">
        <x:v>QUALIFIED</x:v>
      </x:c>
      <x:c r="J278" t="str">
        <x:v>Casey Patel</x:v>
      </x:c>
      <x:c r="K278" s="6" t="n">
        <x:v>46188</x:v>
      </x:c>
      <x:c r="L278" s="6" t="n">
        <x:v>46193</x:v>
      </x:c>
      <x:c r="M278" s="6" t="n">
        <x:v>46210</x:v>
      </x:c>
      <x:c r="N278" s="8" t="n">
        <x:v>44800</x:v>
      </x:c>
      <x:c r="O278" t="str">
        <x:v>Manufacturing</x:v>
      </x:c>
      <x:c r="P278" t="str">
        <x:v>Yes</x:v>
      </x:c>
      <x:c r="Q278" t="str">
        <x:v>No</x:v>
      </x:c>
      <x:c r="R278" s="6"/>
    </x:row>
    <x:row r="279">
      <x:c r="A279" t="str">
        <x:v>L-0278</x:v>
      </x:c>
      <x:c r="B279" t="str">
        <x:v>Noah</x:v>
      </x:c>
      <x:c r="C279" t="str">
        <x:v>Brown</x:v>
      </x:c>
      <x:c r="D279" t="str">
        <x:v>BrightPath Health</x:v>
      </x:c>
      <x:c r="E279" t="str"/>
      <x:c r="F279" t="str"/>
      <x:c r="G279" t="str">
        <x:v>CO</x:v>
      </x:c>
      <x:c r="H279" t="str">
        <x:v>Trade Show</x:v>
      </x:c>
      <x:c r="I279" t="str">
        <x:v>Contact</x:v>
      </x:c>
      <x:c r="J279" t="str">
        <x:v>Jamie Brooks</x:v>
      </x:c>
      <x:c r="K279" s="6" t="n">
        <x:v>46074</x:v>
      </x:c>
      <x:c r="L279" s="6" t="n">
        <x:v>46158</x:v>
      </x:c>
      <x:c r="M279" s="6" t="n">
        <x:v>46169</x:v>
      </x:c>
      <x:c r="N279" s="8" t="n">
        <x:v>27500</x:v>
      </x:c>
      <x:c r="O279" t="str">
        <x:v>Biotech</x:v>
      </x:c>
      <x:c r="P279" t="str">
        <x:v>No</x:v>
      </x:c>
      <x:c r="Q279" t="str">
        <x:v>No</x:v>
      </x:c>
      <x:c r="R279" s="6"/>
    </x:row>
    <x:row r="280">
      <x:c r="A280" t="str">
        <x:v>L-0279</x:v>
      </x:c>
      <x:c r="B280" t="str">
        <x:v>Emma</x:v>
      </x:c>
      <x:c r="C280" t="str">
        <x:v>THOMAS</x:v>
      </x:c>
      <x:c r="D280" t="str">
        <x:v>Clearview Media</x:v>
      </x:c>
      <x:c r="E280" t="str">
        <x:v>emma.thomas321@examplebiz.com</x:v>
      </x:c>
      <x:c r="F280" t="str">
        <x:v>(640) 988-7843</x:v>
      </x:c>
      <x:c r="G280" t="str">
        <x:v>PA</x:v>
      </x:c>
      <x:c r="H280" t="str">
        <x:v>Linked In</x:v>
      </x:c>
      <x:c r="I280" t="str">
        <x:v>Qual</x:v>
      </x:c>
      <x:c r="J280" t="str">
        <x:v>Jordan Lee</x:v>
      </x:c>
      <x:c r="K280" s="6" t="n">
        <x:v>46114</x:v>
      </x:c>
      <x:c r="L280" s="6" t="n">
        <x:v>46233</x:v>
      </x:c>
      <x:c r="M280" s="6" t="n">
        <x:v>46250</x:v>
      </x:c>
      <x:c r="N280" s="8" t="n">
        <x:v>30600</x:v>
      </x:c>
      <x:c r="O280" t="str">
        <x:v>Retail</x:v>
      </x:c>
      <x:c r="P280" t="str">
        <x:v>Yes</x:v>
      </x:c>
      <x:c r="Q280" t="str">
        <x:v>No</x:v>
      </x:c>
      <x:c r="R280" s="6"/>
    </x:row>
    <x:row r="281">
      <x:c r="A281" t="str">
        <x:v>L-0280</x:v>
      </x:c>
      <x:c r="B281" t="str">
        <x:v>amelia</x:v>
      </x:c>
      <x:c r="C281" t="str">
        <x:v>lee</x:v>
      </x:c>
      <x:c r="D281" t="str"/>
      <x:c r="E281" t="str">
        <x:v>amelia.lee582@mailhub.net</x:v>
      </x:c>
      <x:c r="F281" t="str">
        <x:v>591-409-7400</x:v>
      </x:c>
      <x:c r="G281" t="str">
        <x:v>WA</x:v>
      </x:c>
      <x:c r="H281" t="str">
        <x:v> Website </x:v>
      </x:c>
      <x:c r="I281" t="str">
        <x:v>Closed Won</x:v>
      </x:c>
      <x:c r="J281" t="str">
        <x:v> Casey Patel </x:v>
      </x:c>
      <x:c r="K281" s="6" t="n">
        <x:v>46211</x:v>
      </x:c>
      <x:c r="L281" s="6" t="n">
        <x:v>46220</x:v>
      </x:c>
      <x:c r="M281" s="6"/>
      <x:c r="N281" s="8" t="n">
        <x:v>83100</x:v>
      </x:c>
      <x:c r="O281" t="str">
        <x:v>Biotech</x:v>
      </x:c>
      <x:c r="P281" t="str">
        <x:v>Yes</x:v>
      </x:c>
      <x:c r="Q281" t="str">
        <x:v>Yes</x:v>
      </x:c>
      <x:c r="R281" s="6" t="n">
        <x:v>46224</x:v>
      </x:c>
    </x:row>
    <x:row r="282">
      <x:c r="A282" t="str">
        <x:v>L-0281</x:v>
      </x:c>
      <x:c r="B282" t="str">
        <x:v>Mia</x:v>
      </x:c>
      <x:c r="C282" t="str">
        <x:v>Thomas</x:v>
      </x:c>
      <x:c r="D282" t="str">
        <x:v>Evergreen Services</x:v>
      </x:c>
      <x:c r="E282" t="str">
        <x:v>mia.thomas335@mailhub.net</x:v>
      </x:c>
      <x:c r="F282" t="str">
        <x:v>(601) 360-2814</x:v>
      </x:c>
      <x:c r="G282" t="str">
        <x:v>FL</x:v>
      </x:c>
      <x:c r="H282" t="str">
        <x:v>REFERRAL</x:v>
      </x:c>
      <x:c r="I282" t="str">
        <x:v>qualified</x:v>
      </x:c>
      <x:c r="J282" t="str">
        <x:v>Taylor Morgan</x:v>
      </x:c>
      <x:c r="K282" s="6" t="n">
        <x:v>46130</x:v>
      </x:c>
      <x:c r="L282" s="6" t="n">
        <x:v>46137</x:v>
      </x:c>
      <x:c r="M282" s="6" t="n">
        <x:v>46151</x:v>
      </x:c>
      <x:c r="N282" s="8" t="n">
        <x:v>45300</x:v>
      </x:c>
      <x:c r="O282" t="str">
        <x:v>Retail</x:v>
      </x:c>
      <x:c r="P282" t="str">
        <x:v>Yes</x:v>
      </x:c>
      <x:c r="Q282" t="str">
        <x:v>No</x:v>
      </x:c>
      <x:c r="R282" s="6"/>
    </x:row>
    <x:row r="283">
      <x:c r="A283" t="str">
        <x:v>L-0282</x:v>
      </x:c>
      <x:c r="B283" t="str">
        <x:v>Harper</x:v>
      </x:c>
      <x:c r="C283" t="str">
        <x:v>Rodriguez</x:v>
      </x:c>
      <x:c r="D283" t="str">
        <x:v>Apex Manufacturing</x:v>
      </x:c>
      <x:c r="E283" t="str">
        <x:v>harper.rodriguez901@mailhub.net</x:v>
      </x:c>
      <x:c r="F283" t="str">
        <x:v>(672) 673-1640</x:v>
      </x:c>
      <x:c r="G283" t="str">
        <x:v>CA</x:v>
      </x:c>
      <x:c r="H283" t="str">
        <x:v>WEBINAR</x:v>
      </x:c>
      <x:c r="I283" t="str">
        <x:v>Closed-Won</x:v>
      </x:c>
      <x:c r="J283" t="str">
        <x:v>Alex Kim</x:v>
      </x:c>
      <x:c r="K283" s="6" t="n">
        <x:v>46092</x:v>
      </x:c>
      <x:c r="L283" s="6" t="n">
        <x:v>46155</x:v>
      </x:c>
      <x:c r="M283" s="6"/>
      <x:c r="N283" s="8" t="n">
        <x:v>45900</x:v>
      </x:c>
      <x:c r="O283" t="str">
        <x:v>Healthcare</x:v>
      </x:c>
      <x:c r="P283" t="str">
        <x:v>Yes</x:v>
      </x:c>
      <x:c r="Q283" t="str">
        <x:v>Yes</x:v>
      </x:c>
      <x:c r="R283" s="6" t="n">
        <x:v>46159</x:v>
      </x:c>
    </x:row>
    <x:row r="284">
      <x:c r="A284" t="str">
        <x:v>L-0283</x:v>
      </x:c>
      <x:c r="B284" t="str">
        <x:v>Ethan</x:v>
      </x:c>
      <x:c r="C284" t="str">
        <x:v>Perez</x:v>
      </x:c>
      <x:c r="D284" t="str">
        <x:v>Summit Analytics</x:v>
      </x:c>
      <x:c r="E284" t="str">
        <x:v>ethan.perez939@northmail.com</x:v>
      </x:c>
      <x:c r="F284" t="str">
        <x:v>(915) 943-4559</x:v>
      </x:c>
      <x:c r="G284" t="str">
        <x:v>PA</x:v>
      </x:c>
      <x:c r="H284" t="str">
        <x:v>Outbound</x:v>
      </x:c>
      <x:c r="I284" t="str">
        <x:v>Contact</x:v>
      </x:c>
      <x:c r="J284" t="str">
        <x:v>JAMIE BROOKS</x:v>
      </x:c>
      <x:c r="K284" s="6" t="n">
        <x:v>46206</x:v>
      </x:c>
      <x:c r="L284" s="6" t="n">
        <x:v>46223</x:v>
      </x:c>
      <x:c r="M284" s="6" t="n">
        <x:v>46246</x:v>
      </x:c>
      <x:c r="N284" s="8" t="n">
        <x:v>46900</x:v>
      </x:c>
      <x:c r="O284" t="str">
        <x:v>Professional Services</x:v>
      </x:c>
      <x:c r="P284" t="str">
        <x:v>No</x:v>
      </x:c>
      <x:c r="Q284" t="str">
        <x:v>No</x:v>
      </x:c>
      <x:c r="R284" s="6"/>
    </x:row>
    <x:row r="285">
      <x:c r="A285" t="str">
        <x:v>L-0284</x:v>
      </x:c>
      <x:c r="B285" t="str">
        <x:v>Harper</x:v>
      </x:c>
      <x:c r="C285" t="str">
        <x:v>Thomas</x:v>
      </x:c>
      <x:c r="D285" t="str">
        <x:v> Redstone Consulting </x:v>
      </x:c>
      <x:c r="E285" t="str">
        <x:v>harper.thomas497@mailhub.net</x:v>
      </x:c>
      <x:c r="F285" t="str">
        <x:v>(270) 284-9985</x:v>
      </x:c>
      <x:c r="G285" t="str">
        <x:v>FL</x:v>
      </x:c>
      <x:c r="H285" t="str">
        <x:v>referral</x:v>
      </x:c>
      <x:c r="I285" t="str">
        <x:v>New</x:v>
      </x:c>
      <x:c r="J285" t="str">
        <x:v>Morgan Reed</x:v>
      </x:c>
      <x:c r="K285" s="6" t="n">
        <x:v>46217</x:v>
      </x:c>
      <x:c r="L285" s="6" t="n">
        <x:v>46225</x:v>
      </x:c>
      <x:c r="M285" s="6" t="n">
        <x:v>46238</x:v>
      </x:c>
      <x:c r="N285" s="8" t="n">
        <x:v>57800</x:v>
      </x:c>
      <x:c r="O285" t="str">
        <x:v>Professional Services</x:v>
      </x:c>
      <x:c r="P285" t="str">
        <x:v>No</x:v>
      </x:c>
      <x:c r="Q285" t="str">
        <x:v>No</x:v>
      </x:c>
      <x:c r="R285" s="6"/>
    </x:row>
    <x:row r="286">
      <x:c r="A286" t="str">
        <x:v>L-0285</x:v>
      </x:c>
      <x:c r="B286" t="str">
        <x:v>Ava</x:v>
      </x:c>
      <x:c r="C286" t="str">
        <x:v> Rodriguez </x:v>
      </x:c>
      <x:c r="D286" t="str">
        <x:v>BLUE RIDGE SUPPLY</x:v>
      </x:c>
      <x:c r="E286" t="str">
        <x:v> ava.rodriguez857@northmail.com </x:v>
      </x:c>
      <x:c r="F286" t="str">
        <x:v>600-906-6051</x:v>
      </x:c>
      <x:c r="G286" t="str">
        <x:v>IL</x:v>
      </x:c>
      <x:c r="H286" t="str">
        <x:v>website</x:v>
      </x:c>
      <x:c r="I286" t="str">
        <x:v>OPP</x:v>
      </x:c>
      <x:c r="J286" t="str">
        <x:v>Jordan Lee</x:v>
      </x:c>
      <x:c r="K286" s="6" t="n">
        <x:v>46074</x:v>
      </x:c>
      <x:c r="L286" s="6" t="n">
        <x:v>46210</x:v>
      </x:c>
      <x:c r="M286" s="6" t="n">
        <x:v>46219</x:v>
      </x:c>
      <x:c r="N286" s="8" t="n">
        <x:v>39000</x:v>
      </x:c>
      <x:c r="O286" t="str">
        <x:v>Logistics</x:v>
      </x:c>
      <x:c r="P286" t="str">
        <x:v>Yes</x:v>
      </x:c>
      <x:c r="Q286" t="str">
        <x:v>No</x:v>
      </x:c>
      <x:c r="R286" s="6"/>
    </x:row>
    <x:row r="287">
      <x:c r="A287" t="str">
        <x:v>L-0286</x:v>
      </x:c>
      <x:c r="B287" t="str">
        <x:v>Mason</x:v>
      </x:c>
      <x:c r="C287" t="str">
        <x:v>BROWN</x:v>
      </x:c>
      <x:c r="D287" t="str">
        <x:v>CedarWorks</x:v>
      </x:c>
      <x:c r="E287" t="str">
        <x:v>mason.brown213@mailhub.net</x:v>
      </x:c>
      <x:c r="F287" t="str">
        <x:v>(639) 323-4807</x:v>
      </x:c>
      <x:c r="G287" t="str">
        <x:v>CO</x:v>
      </x:c>
      <x:c r="H287" t="str">
        <x:v>Referral</x:v>
      </x:c>
      <x:c r="I287" t="str">
        <x:v>New</x:v>
      </x:c>
      <x:c r="J287" t="str">
        <x:v>Alex Kim</x:v>
      </x:c>
      <x:c r="K287" s="6" t="n">
        <x:v>46163</x:v>
      </x:c>
      <x:c r="L287" s="6" t="n">
        <x:v>46204</x:v>
      </x:c>
      <x:c r="M287" s="6" t="n">
        <x:v>46224</x:v>
      </x:c>
      <x:c r="N287" s="8" t="n">
        <x:v>54200</x:v>
      </x:c>
      <x:c r="O287" t="str">
        <x:v>Manufacturing</x:v>
      </x:c>
      <x:c r="P287" t="str">
        <x:v>No</x:v>
      </x:c>
      <x:c r="Q287" t="str">
        <x:v>No</x:v>
      </x:c>
      <x:c r="R287" s="6"/>
    </x:row>
    <x:row r="288">
      <x:c r="A288" t="str">
        <x:v>L-0287</x:v>
      </x:c>
      <x:c r="B288" t="str">
        <x:v>Henry</x:v>
      </x:c>
      <x:c r="C288" t="str">
        <x:v>Jackson</x:v>
      </x:c>
      <x:c r="D288" t="str">
        <x:v>Summit Analytics</x:v>
      </x:c>
      <x:c r="E288" t="str">
        <x:v>henry.jackson137@prospect.co</x:v>
      </x:c>
      <x:c r="F288" t="str"/>
      <x:c r="G288" t="str">
        <x:v>NY</x:v>
      </x:c>
      <x:c r="H288" t="str">
        <x:v>Outbound</x:v>
      </x:c>
      <x:c r="I288" t="str">
        <x:v>Qualified</x:v>
      </x:c>
      <x:c r="J288" t="str">
        <x:v>Jamie Brooks</x:v>
      </x:c>
      <x:c r="K288" s="6" t="n">
        <x:v>46085</x:v>
      </x:c>
      <x:c r="L288" s="6" t="n">
        <x:v>46184</x:v>
      </x:c>
      <x:c r="M288" s="6" t="n">
        <x:v>46208</x:v>
      </x:c>
      <x:c r="N288" s="8" t="n">
        <x:v>78800</x:v>
      </x:c>
      <x:c r="O288" t="str">
        <x:v>Manufacturing</x:v>
      </x:c>
      <x:c r="P288" t="str">
        <x:v>Yes</x:v>
      </x:c>
      <x:c r="Q288" t="str">
        <x:v>No</x:v>
      </x:c>
      <x:c r="R288" s="6"/>
    </x:row>
    <x:row r="289">
      <x:c r="A289" t="str">
        <x:v>L-0288</x:v>
      </x:c>
      <x:c r="B289" t="str">
        <x:v>James</x:v>
      </x:c>
      <x:c r="C289" t="str">
        <x:v>DAVIS</x:v>
      </x:c>
      <x:c r="D289" t="str">
        <x:v>BrightPath Health</x:v>
      </x:c>
      <x:c r="E289" t="str">
        <x:v>james.davis946@mailhub.net</x:v>
      </x:c>
      <x:c r="F289" t="str">
        <x:v>(957) 536-3199</x:v>
      </x:c>
      <x:c r="G289" t="str">
        <x:v>CA</x:v>
      </x:c>
      <x:c r="H289" t="str">
        <x:v>Referral</x:v>
      </x:c>
      <x:c r="I289" t="str">
        <x:v>contacted</x:v>
      </x:c>
      <x:c r="J289" t="str">
        <x:v>Taylor Morgan</x:v>
      </x:c>
      <x:c r="K289" s="6" t="n">
        <x:v>46208</x:v>
      </x:c>
      <x:c r="L289" s="6" t="n">
        <x:v>46232</x:v>
      </x:c>
      <x:c r="M289" s="6" t="n">
        <x:v>46241</x:v>
      </x:c>
      <x:c r="N289" s="8" t="n">
        <x:v>55500</x:v>
      </x:c>
      <x:c r="O289" t="str">
        <x:v>Healthcare</x:v>
      </x:c>
      <x:c r="P289" t="str">
        <x:v>No</x:v>
      </x:c>
      <x:c r="Q289" t="str">
        <x:v>No</x:v>
      </x:c>
      <x:c r="R289" s="6"/>
    </x:row>
    <x:row r="290">
      <x:c r="A290" t="str">
        <x:v>L-0289</x:v>
      </x:c>
      <x:c r="B290" t="str">
        <x:v>Mason</x:v>
      </x:c>
      <x:c r="C290" t="str">
        <x:v>Thompson</x:v>
      </x:c>
      <x:c r="D290" t="str">
        <x:v>Silverline Foods</x:v>
      </x:c>
      <x:c r="E290" t="str">
        <x:v>mason.thompson961@examplebiz.com</x:v>
      </x:c>
      <x:c r="F290" t="str">
        <x:v>(329) 293-3845</x:v>
      </x:c>
      <x:c r="G290" t="str">
        <x:v>CA</x:v>
      </x:c>
      <x:c r="H290" t="str">
        <x:v>webinar</x:v>
      </x:c>
      <x:c r="I290" t="str">
        <x:v>NEW</x:v>
      </x:c>
      <x:c r="J290" t="str">
        <x:v>Taylor Morgan</x:v>
      </x:c>
      <x:c r="K290" s="6" t="n">
        <x:v>46121</x:v>
      </x:c>
      <x:c r="L290" s="6" t="n">
        <x:v>46138</x:v>
      </x:c>
      <x:c r="M290" s="6" t="n">
        <x:v>46147</x:v>
      </x:c>
      <x:c r="N290" s="8" t="n">
        <x:v>6800</x:v>
      </x:c>
      <x:c r="O290" t="str">
        <x:v>Biotech</x:v>
      </x:c>
      <x:c r="P290" t="str">
        <x:v>No</x:v>
      </x:c>
      <x:c r="Q290" t="str">
        <x:v>No</x:v>
      </x:c>
      <x:c r="R290" s="6"/>
    </x:row>
    <x:row r="291">
      <x:c r="A291" t="str">
        <x:v>L-0290</x:v>
      </x:c>
      <x:c r="B291" t="str">
        <x:v> Olivia </x:v>
      </x:c>
      <x:c r="C291" t="str">
        <x:v>Rodriguez</x:v>
      </x:c>
      <x:c r="D291" t="str">
        <x:v>Atlas Commerce</x:v>
      </x:c>
      <x:c r="E291" t="str">
        <x:v>olivia.rodriguez779@examplebiz.com</x:v>
      </x:c>
      <x:c r="F291" t="str">
        <x:v>(694) 220-7249</x:v>
      </x:c>
      <x:c r="G291" t="str">
        <x:v>IL</x:v>
      </x:c>
      <x:c r="H291" t="str">
        <x:v> Referal </x:v>
      </x:c>
      <x:c r="I291" t="str">
        <x:v>New</x:v>
      </x:c>
      <x:c r="J291" t="str">
        <x:v>Morgan Reed</x:v>
      </x:c>
      <x:c r="K291" s="6" t="n">
        <x:v>46134</x:v>
      </x:c>
      <x:c r="L291" s="6" t="n">
        <x:v>46188</x:v>
      </x:c>
      <x:c r="M291" s="6" t="n">
        <x:v>46207</x:v>
      </x:c>
      <x:c r="N291" s="8" t="n">
        <x:v>52800</x:v>
      </x:c>
      <x:c r="O291" t="str">
        <x:v>Technology</x:v>
      </x:c>
      <x:c r="P291" t="str">
        <x:v>No</x:v>
      </x:c>
      <x:c r="Q291" t="str">
        <x:v>No</x:v>
      </x:c>
      <x:c r="R291" s="6"/>
    </x:row>
    <x:row r="292">
      <x:c r="A292" t="str">
        <x:v>L-0291</x:v>
      </x:c>
      <x:c r="B292" t="str">
        <x:v>Benjamin</x:v>
      </x:c>
      <x:c r="C292" t="str">
        <x:v>Miller</x:v>
      </x:c>
      <x:c r="D292" t="str">
        <x:v> Blue Ridge Supply </x:v>
      </x:c>
      <x:c r="E292" t="str">
        <x:v>benjamin.miller963@mailhub.net</x:v>
      </x:c>
      <x:c r="F292" t="str">
        <x:v>(961) 582-7292</x:v>
      </x:c>
      <x:c r="G292" t="str">
        <x:v>CO</x:v>
      </x:c>
      <x:c r="H292" t="str">
        <x:v>WEB</x:v>
      </x:c>
      <x:c r="I292" t="str">
        <x:v>Qual</x:v>
      </x:c>
      <x:c r="J292" t="str">
        <x:v>Morgan Reed</x:v>
      </x:c>
      <x:c r="K292" s="6" t="n">
        <x:v>46061</x:v>
      </x:c>
      <x:c r="L292" s="6" t="n">
        <x:v>46156</x:v>
      </x:c>
      <x:c r="M292" s="6" t="n">
        <x:v>46174</x:v>
      </x:c>
      <x:c r="N292" s="8" t="n">
        <x:v>35900</x:v>
      </x:c>
      <x:c r="O292" t="str">
        <x:v>Retail</x:v>
      </x:c>
      <x:c r="P292" t="str">
        <x:v>Yes</x:v>
      </x:c>
      <x:c r="Q292" t="str">
        <x:v>No</x:v>
      </x:c>
      <x:c r="R292" s="6"/>
    </x:row>
    <x:row r="293">
      <x:c r="A293" t="str">
        <x:v>L-0292</x:v>
      </x:c>
      <x:c r="B293" t="str">
        <x:v>logan</x:v>
      </x:c>
      <x:c r="C293" t="str">
        <x:v>johnson</x:v>
      </x:c>
      <x:c r="D293" t="str">
        <x:v>Silverline Foods</x:v>
      </x:c>
      <x:c r="E293" t="str">
        <x:v>logan.johnson715@examplebiz.com</x:v>
      </x:c>
      <x:c r="F293" t="str">
        <x:v>(468) 819-8462</x:v>
      </x:c>
      <x:c r="G293" t="str">
        <x:v>PA</x:v>
      </x:c>
      <x:c r="H293" t="str">
        <x:v>Referral</x:v>
      </x:c>
      <x:c r="I293" t="str">
        <x:v>qualified</x:v>
      </x:c>
      <x:c r="J293" t="str">
        <x:v>Jordan Lee</x:v>
      </x:c>
      <x:c r="K293" s="6" t="n">
        <x:v>46038</x:v>
      </x:c>
      <x:c r="L293" s="6" t="n">
        <x:v>46130</x:v>
      </x:c>
      <x:c r="M293" s="6" t="n">
        <x:v>46153</x:v>
      </x:c>
      <x:c r="N293" s="8" t="n">
        <x:v>60800</x:v>
      </x:c>
      <x:c r="O293" t="str">
        <x:v>Professional Services</x:v>
      </x:c>
      <x:c r="P293" t="str">
        <x:v>Yes</x:v>
      </x:c>
      <x:c r="Q293" t="str">
        <x:v>No</x:v>
      </x:c>
      <x:c r="R293" s="6"/>
    </x:row>
    <x:row r="294">
      <x:c r="A294" t="str">
        <x:v>L-0293</x:v>
      </x:c>
      <x:c r="B294" t="str">
        <x:v>Ethan</x:v>
      </x:c>
      <x:c r="C294" t="str">
        <x:v>TAYLOR</x:v>
      </x:c>
      <x:c r="D294" t="str">
        <x:v>HORIZON BIO</x:v>
      </x:c>
      <x:c r="E294" t="str">
        <x:v>emma.garcia987@mailhub.net</x:v>
      </x:c>
      <x:c r="F294" t="str">
        <x:v>(312) 851-6642</x:v>
      </x:c>
      <x:c r="G294" t="str">
        <x:v>GA</x:v>
      </x:c>
      <x:c r="H294" t="str">
        <x:v>OUTBOUND</x:v>
      </x:c>
      <x:c r="I294" t="str">
        <x:v>OPP</x:v>
      </x:c>
      <x:c r="J294" t="str">
        <x:v>Jamie Brooks</x:v>
      </x:c>
      <x:c r="K294" s="6" t="n">
        <x:v>46149</x:v>
      </x:c>
      <x:c r="L294" s="6" t="n">
        <x:v>46224</x:v>
      </x:c>
      <x:c r="M294" s="6" t="n">
        <x:v>46236</x:v>
      </x:c>
      <x:c r="N294" s="8" t="n">
        <x:v>63000</x:v>
      </x:c>
      <x:c r="O294" t="str">
        <x:v>Financial Services</x:v>
      </x:c>
      <x:c r="P294" t="str">
        <x:v>Yes</x:v>
      </x:c>
      <x:c r="Q294" t="str">
        <x:v>No</x:v>
      </x:c>
      <x:c r="R294" s="6"/>
    </x:row>
    <x:row r="295">
      <x:c r="A295" t="str">
        <x:v>L-0294</x:v>
      </x:c>
      <x:c r="B295" t="str">
        <x:v> Ethan </x:v>
      </x:c>
      <x:c r="C295" t="str">
        <x:v>Anderson</x:v>
      </x:c>
      <x:c r="D295" t="str">
        <x:v>CedarWorks</x:v>
      </x:c>
      <x:c r="E295" t="str">
        <x:v>ethan.anderson206@northmail.com</x:v>
      </x:c>
      <x:c r="F295" t="str">
        <x:v>(968) 387-4143</x:v>
      </x:c>
      <x:c r="G295" t="str">
        <x:v>FL</x:v>
      </x:c>
      <x:c r="H295" t="str">
        <x:v>WEBINAR</x:v>
      </x:c>
      <x:c r="I295" t="str">
        <x:v>qualified</x:v>
      </x:c>
      <x:c r="J295" t="str">
        <x:v>Taylor Morgan</x:v>
      </x:c>
      <x:c r="K295" s="6" t="n">
        <x:v>46218</x:v>
      </x:c>
      <x:c r="L295" s="6" t="n">
        <x:v>46246</x:v>
      </x:c>
      <x:c r="M295" s="6" t="n">
        <x:v>46267</x:v>
      </x:c>
      <x:c r="N295" s="8" t="n">
        <x:v>69700</x:v>
      </x:c>
      <x:c r="O295" t="str">
        <x:v>Manufacturing</x:v>
      </x:c>
      <x:c r="P295" t="str">
        <x:v>Yes</x:v>
      </x:c>
      <x:c r="Q295" t="str">
        <x:v>No</x:v>
      </x:c>
      <x:c r="R295" s="6"/>
    </x:row>
    <x:row r="296">
      <x:c r="A296" t="str">
        <x:v>L-0295</x:v>
      </x:c>
      <x:c r="B296" t="str">
        <x:v>Noah</x:v>
      </x:c>
      <x:c r="C296" t="str">
        <x:v>Smith</x:v>
      </x:c>
      <x:c r="D296" t="str">
        <x:v>PEAKLINE SYSTEMS</x:v>
      </x:c>
      <x:c r="E296" t="str">
        <x:v>noah.smith385@prospect.co</x:v>
      </x:c>
      <x:c r="F296" t="str">
        <x:v>(698) 684-6521</x:v>
      </x:c>
      <x:c r="G296" t="str">
        <x:v>CO</x:v>
      </x:c>
      <x:c r="H296" t="str">
        <x:v>LinkedIn</x:v>
      </x:c>
      <x:c r="I296" t="str">
        <x:v>Closed Won</x:v>
      </x:c>
      <x:c r="J296" t="str">
        <x:v>Jordan Lee</x:v>
      </x:c>
      <x:c r="K296" s="6" t="n">
        <x:v>46236</x:v>
      </x:c>
      <x:c r="L296" s="6" t="n">
        <x:v>46239</x:v>
      </x:c>
      <x:c r="M296" s="6"/>
      <x:c r="N296" s="8" t="n">
        <x:v>19900</x:v>
      </x:c>
      <x:c r="O296" t="str">
        <x:v>Financial Services</x:v>
      </x:c>
      <x:c r="P296" t="str">
        <x:v>Yes</x:v>
      </x:c>
      <x:c r="Q296" t="str">
        <x:v>Yes</x:v>
      </x:c>
      <x:c r="R296" s="6" t="n">
        <x:v>46244</x:v>
      </x:c>
    </x:row>
    <x:row r="297">
      <x:c r="A297" t="str">
        <x:v>L-0296</x:v>
      </x:c>
      <x:c r="B297" t="str">
        <x:v>Amelia</x:v>
      </x:c>
      <x:c r="C297" t="str">
        <x:v>Jones</x:v>
      </x:c>
      <x:c r="D297" t="str"/>
      <x:c r="E297" t="str">
        <x:v>amelia.jones675@mailhub.net</x:v>
      </x:c>
      <x:c r="F297" t="str">
        <x:v>(728) 623-4079</x:v>
      </x:c>
      <x:c r="G297" t="str">
        <x:v>GA</x:v>
      </x:c>
      <x:c r="H297" t="str">
        <x:v> Referal </x:v>
      </x:c>
      <x:c r="I297" t="str">
        <x:v>opportunity</x:v>
      </x:c>
      <x:c r="J297" t="str">
        <x:v>Jamie Brooks</x:v>
      </x:c>
      <x:c r="K297" s="6" t="n">
        <x:v>46038</x:v>
      </x:c>
      <x:c r="L297" s="6" t="n">
        <x:v>46101</x:v>
      </x:c>
      <x:c r="M297" s="6" t="n">
        <x:v>46115</x:v>
      </x:c>
      <x:c r="N297" s="8" t="n">
        <x:v>39800</x:v>
      </x:c>
      <x:c r="O297" t="str">
        <x:v>Technology</x:v>
      </x:c>
      <x:c r="P297" t="str">
        <x:v>Yes</x:v>
      </x:c>
      <x:c r="Q297" t="str">
        <x:v>No</x:v>
      </x:c>
      <x:c r="R297" s="6"/>
    </x:row>
    <x:row r="298">
      <x:c r="A298" t="str">
        <x:v>L-0297</x:v>
      </x:c>
      <x:c r="B298" t="str">
        <x:v> Mia </x:v>
      </x:c>
      <x:c r="C298" t="str">
        <x:v>Anderson</x:v>
      </x:c>
      <x:c r="D298" t="str"/>
      <x:c r="E298" t="str">
        <x:v> mia.anderson730@examplebiz.com </x:v>
      </x:c>
      <x:c r="F298" t="str">
        <x:v>(733) 785-9267</x:v>
      </x:c>
      <x:c r="G298" t="str">
        <x:v>OH</x:v>
      </x:c>
      <x:c r="H298" t="str">
        <x:v>email campaign</x:v>
      </x:c>
      <x:c r="I298" t="str">
        <x:v>closed lost</x:v>
      </x:c>
      <x:c r="J298" t="str">
        <x:v> Taylor Morgan </x:v>
      </x:c>
      <x:c r="K298" s="6" t="n">
        <x:v>46059</x:v>
      </x:c>
      <x:c r="L298" s="6" t="n">
        <x:v>46157</x:v>
      </x:c>
      <x:c r="M298" s="6"/>
      <x:c r="N298" s="8" t="n">
        <x:v>26700</x:v>
      </x:c>
      <x:c r="O298" t="str">
        <x:v>Logistics</x:v>
      </x:c>
      <x:c r="P298" t="str">
        <x:v>Yes</x:v>
      </x:c>
      <x:c r="Q298" t="str">
        <x:v>No</x:v>
      </x:c>
      <x:c r="R298" s="6" t="n">
        <x:v>46164</x:v>
      </x:c>
    </x:row>
    <x:row r="299">
      <x:c r="A299" t="str">
        <x:v>L-0298</x:v>
      </x:c>
      <x:c r="B299" t="str">
        <x:v>Mia</x:v>
      </x:c>
      <x:c r="C299" t="str">
        <x:v>Brown</x:v>
      </x:c>
      <x:c r="D299" t="str">
        <x:v>VERTEX SOLUTIONS</x:v>
      </x:c>
      <x:c r="E299" t="str">
        <x:v>mia.brown682@mailhub.net</x:v>
      </x:c>
      <x:c r="F299" t="str">
        <x:v>(887) 326-3224</x:v>
      </x:c>
      <x:c r="G299" t="str">
        <x:v>CA</x:v>
      </x:c>
      <x:c r="H299" t="str">
        <x:v>Cold Outreach</x:v>
      </x:c>
      <x:c r="I299" t="str">
        <x:v>Contact</x:v>
      </x:c>
      <x:c r="J299" t="str">
        <x:v>Casey Patel</x:v>
      </x:c>
      <x:c r="K299" s="6" t="n">
        <x:v>46148</x:v>
      </x:c>
      <x:c r="L299" s="6" t="n">
        <x:v>46246</x:v>
      </x:c>
      <x:c r="M299" s="6" t="n">
        <x:v>46257</x:v>
      </x:c>
      <x:c r="N299" s="8" t="n">
        <x:v>20700</x:v>
      </x:c>
      <x:c r="O299" t="str">
        <x:v>Healthcare</x:v>
      </x:c>
      <x:c r="P299" t="str">
        <x:v>No</x:v>
      </x:c>
      <x:c r="Q299" t="str">
        <x:v>No</x:v>
      </x:c>
      <x:c r="R299" s="6"/>
    </x:row>
    <x:row r="300">
      <x:c r="A300" t="str">
        <x:v>L-0299</x:v>
      </x:c>
      <x:c r="B300" t="str">
        <x:v>Mason</x:v>
      </x:c>
      <x:c r="C300" t="str">
        <x:v>Rodriguez</x:v>
      </x:c>
      <x:c r="D300" t="str">
        <x:v>summit analytics</x:v>
      </x:c>
      <x:c r="E300" t="str">
        <x:v>mason.rodriguez874@prospect.co</x:v>
      </x:c>
      <x:c r="F300" t="str">
        <x:v>(590) 790-1027</x:v>
      </x:c>
      <x:c r="G300" t="str">
        <x:v>TX</x:v>
      </x:c>
      <x:c r="H300" t="str">
        <x:v>Website</x:v>
      </x:c>
      <x:c r="I300" t="str">
        <x:v>Contact</x:v>
      </x:c>
      <x:c r="J300" t="str">
        <x:v>TAYLOR MORGAN</x:v>
      </x:c>
      <x:c r="K300" s="6" t="n">
        <x:v>46095</x:v>
      </x:c>
      <x:c r="L300" s="6" t="n">
        <x:v>46143</x:v>
      </x:c>
      <x:c r="M300" s="6" t="n">
        <x:v>46149</x:v>
      </x:c>
      <x:c r="N300" s="8" t="n">
        <x:v>49800</x:v>
      </x:c>
      <x:c r="O300" t="str">
        <x:v>Financial Services</x:v>
      </x:c>
      <x:c r="P300" t="str">
        <x:v>No</x:v>
      </x:c>
      <x:c r="Q300" t="str">
        <x:v>No</x:v>
      </x:c>
      <x:c r="R300" s="6"/>
    </x:row>
    <x:row r="301">
      <x:c r="A301" t="str">
        <x:v>L-0300</x:v>
      </x:c>
      <x:c r="B301" t="str">
        <x:v>Harper</x:v>
      </x:c>
      <x:c r="C301" t="str">
        <x:v>WILSON</x:v>
      </x:c>
      <x:c r="D301" t="str">
        <x:v>Blue Ridge Supply</x:v>
      </x:c>
      <x:c r="E301" t="str">
        <x:v>harper.wilson36@prospect.co</x:v>
      </x:c>
      <x:c r="F301" t="str">
        <x:v>(517) 714-3022</x:v>
      </x:c>
      <x:c r="G301" t="str">
        <x:v>FL</x:v>
      </x:c>
      <x:c r="H301" t="str">
        <x:v>WEBINAR</x:v>
      </x:c>
      <x:c r="I301" t="str">
        <x:v>qualified</x:v>
      </x:c>
      <x:c r="J301" t="str">
        <x:v>Jamie Brooks</x:v>
      </x:c>
      <x:c r="K301" s="6" t="n">
        <x:v>46093</x:v>
      </x:c>
      <x:c r="L301" s="6" t="n">
        <x:v>46165</x:v>
      </x:c>
      <x:c r="M301" s="6" t="n">
        <x:v>46172</x:v>
      </x:c>
      <x:c r="N301" s="8" t="n">
        <x:v>64100</x:v>
      </x:c>
      <x:c r="O301" t="str">
        <x:v>Financial Services</x:v>
      </x:c>
      <x:c r="P301" t="str">
        <x:v>Yes</x:v>
      </x:c>
      <x:c r="Q301" t="str">
        <x:v>No</x:v>
      </x:c>
      <x:c r="R301" s="6"/>
    </x:row>
    <x:row r="302">
      <x:c r="A302" t="str">
        <x:v>L-0301</x:v>
      </x:c>
      <x:c r="B302" t="str">
        <x:v>Liam</x:v>
      </x:c>
      <x:c r="C302" t="str">
        <x:v>garcia</x:v>
      </x:c>
      <x:c r="D302" t="str">
        <x:v>Atlas Commerce</x:v>
      </x:c>
      <x:c r="E302" t="str">
        <x:v>liam.garcia695@mailhub.net</x:v>
      </x:c>
      <x:c r="F302" t="str">
        <x:v>(557) 975-7412</x:v>
      </x:c>
      <x:c r="G302" t="str">
        <x:v>NY</x:v>
      </x:c>
      <x:c r="H302" t="str">
        <x:v>OUTBOUND</x:v>
      </x:c>
      <x:c r="I302" t="str">
        <x:v>opportunity</x:v>
      </x:c>
      <x:c r="J302" t="str">
        <x:v>Morgan Reed</x:v>
      </x:c>
      <x:c r="K302" s="6" t="n">
        <x:v>46206</x:v>
      </x:c>
      <x:c r="L302" s="6" t="n">
        <x:v>46207</x:v>
      </x:c>
      <x:c r="M302" s="6" t="n">
        <x:v>46227</x:v>
      </x:c>
      <x:c r="N302" s="8" t="n">
        <x:v>34900</x:v>
      </x:c>
      <x:c r="O302" t="str">
        <x:v>Professional Services</x:v>
      </x:c>
      <x:c r="P302" t="str">
        <x:v>Yes</x:v>
      </x:c>
      <x:c r="Q302" t="str">
        <x:v>No</x:v>
      </x:c>
      <x:c r="R302" s="6"/>
    </x:row>
    <x:row r="303">
      <x:c r="A303" t="str">
        <x:v>L-0302</x:v>
      </x:c>
      <x:c r="B303" t="str">
        <x:v> Luna </x:v>
      </x:c>
      <x:c r="C303" t="str">
        <x:v>JONES</x:v>
      </x:c>
      <x:c r="D303" t="str">
        <x:v>Prairie Health</x:v>
      </x:c>
      <x:c r="E303" t="str">
        <x:v>luna.jones371@northmail.com</x:v>
      </x:c>
      <x:c r="F303" t="str">
        <x:v>(895) 351-7169</x:v>
      </x:c>
      <x:c r="G303" t="str">
        <x:v>NY</x:v>
      </x:c>
      <x:c r="H303" t="str">
        <x:v>email campaign</x:v>
      </x:c>
      <x:c r="I303" t="str">
        <x:v>Contact</x:v>
      </x:c>
      <x:c r="J303" t="str">
        <x:v>Jordan Lee</x:v>
      </x:c>
      <x:c r="K303" s="6" t="n">
        <x:v>46041</x:v>
      </x:c>
      <x:c r="L303" s="6" t="n">
        <x:v>46232</x:v>
      </x:c>
      <x:c r="M303" s="6" t="n">
        <x:v>46241</x:v>
      </x:c>
      <x:c r="N303" s="8" t="n">
        <x:v>63200</x:v>
      </x:c>
      <x:c r="O303" t="str">
        <x:v>Logistics</x:v>
      </x:c>
      <x:c r="P303" t="str">
        <x:v>No</x:v>
      </x:c>
      <x:c r="Q303" t="str">
        <x:v>No</x:v>
      </x:c>
      <x:c r="R303" s="6"/>
    </x:row>
    <x:row r="304">
      <x:c r="A304" t="str">
        <x:v>L-0303</x:v>
      </x:c>
      <x:c r="B304" t="str">
        <x:v>Noah</x:v>
      </x:c>
      <x:c r="C304" t="str">
        <x:v>Davis</x:v>
      </x:c>
      <x:c r="D304" t="str">
        <x:v>Silverline Foods</x:v>
      </x:c>
      <x:c r="E304" t="str">
        <x:v>noah.davis675@northmail.com</x:v>
      </x:c>
      <x:c r="F304" t="str">
        <x:v>(675) 865-7260</x:v>
      </x:c>
      <x:c r="G304" t="str">
        <x:v>NY</x:v>
      </x:c>
      <x:c r="H304" t="str">
        <x:v>LinkedIn</x:v>
      </x:c>
      <x:c r="I304" t="str">
        <x:v>closed lost</x:v>
      </x:c>
      <x:c r="J304" t="str">
        <x:v>Jamie Brooks</x:v>
      </x:c>
      <x:c r="K304" s="6" t="n">
        <x:v>46079</x:v>
      </x:c>
      <x:c r="L304" s="6" t="n">
        <x:v>46175</x:v>
      </x:c>
      <x:c r="M304" s="6"/>
      <x:c r="N304" s="8" t="n">
        <x:v>66500</x:v>
      </x:c>
      <x:c r="O304" t="str">
        <x:v>Logistics</x:v>
      </x:c>
      <x:c r="P304" t="str">
        <x:v>Yes</x:v>
      </x:c>
      <x:c r="Q304" t="str">
        <x:v>No</x:v>
      </x:c>
      <x:c r="R304" s="6" t="n">
        <x:v>46183</x:v>
      </x:c>
    </x:row>
    <x:row r="305">
      <x:c r="A305" t="str">
        <x:v>L-0304</x:v>
      </x:c>
      <x:c r="B305" t="str">
        <x:v>James</x:v>
      </x:c>
      <x:c r="C305" t="str">
        <x:v>Martinez</x:v>
      </x:c>
      <x:c r="D305" t="str">
        <x:v> Blue Ridge Supply </x:v>
      </x:c>
      <x:c r="E305" t="str">
        <x:v>james.martinez21@mailhub.net</x:v>
      </x:c>
      <x:c r="F305" t="str">
        <x:v>(770) 749-9684</x:v>
      </x:c>
      <x:c r="G305" t="str">
        <x:v>IL</x:v>
      </x:c>
      <x:c r="H305" t="str">
        <x:v> Website </x:v>
      </x:c>
      <x:c r="I305" t="str">
        <x:v>LOST</x:v>
      </x:c>
      <x:c r="J305" t="str">
        <x:v>jamie brooks</x:v>
      </x:c>
      <x:c r="K305" s="6" t="n">
        <x:v>46043</x:v>
      </x:c>
      <x:c r="L305" s="6" t="n">
        <x:v>46180</x:v>
      </x:c>
      <x:c r="M305" s="6"/>
      <x:c r="N305" s="8" t="n">
        <x:v>17800</x:v>
      </x:c>
      <x:c r="O305" t="str">
        <x:v>Technology</x:v>
      </x:c>
      <x:c r="P305" t="str">
        <x:v>Yes</x:v>
      </x:c>
      <x:c r="Q305" t="str">
        <x:v>No</x:v>
      </x:c>
      <x:c r="R305" s="6" t="n">
        <x:v>46183</x:v>
      </x:c>
    </x:row>
    <x:row r="306">
      <x:c r="A306" t="str">
        <x:v>L-0305</x:v>
      </x:c>
      <x:c r="B306" t="str">
        <x:v>Emma</x:v>
      </x:c>
      <x:c r="C306" t="str">
        <x:v>Perez</x:v>
      </x:c>
      <x:c r="D306" t="str">
        <x:v>Apex Manufacturing</x:v>
      </x:c>
      <x:c r="E306" t="str">
        <x:v>emma.perez306@prospect.co</x:v>
      </x:c>
      <x:c r="F306" t="str">
        <x:v>(758) 375-7931</x:v>
      </x:c>
      <x:c r="G306" t="str">
        <x:v>TX</x:v>
      </x:c>
      <x:c r="H306" t="str">
        <x:v>trade show</x:v>
      </x:c>
      <x:c r="I306" t="str">
        <x:v>closed won</x:v>
      </x:c>
      <x:c r="J306" t="str">
        <x:v>Alex Kim</x:v>
      </x:c>
      <x:c r="K306" s="6" t="n">
        <x:v>46238</x:v>
      </x:c>
      <x:c r="L306" s="6" t="n">
        <x:v>46239</x:v>
      </x:c>
      <x:c r="M306" s="6"/>
      <x:c r="N306" s="8" t="n">
        <x:v>83300</x:v>
      </x:c>
      <x:c r="O306" t="str">
        <x:v>Manufacturing</x:v>
      </x:c>
      <x:c r="P306" t="str">
        <x:v>Yes</x:v>
      </x:c>
      <x:c r="Q306" t="str">
        <x:v>Yes</x:v>
      </x:c>
      <x:c r="R306" s="6" t="n">
        <x:v>46243</x:v>
      </x:c>
    </x:row>
    <x:row r="307">
      <x:c r="A307" t="str">
        <x:v>L-0306</x:v>
      </x:c>
      <x:c r="B307" t="str">
        <x:v>Liam</x:v>
      </x:c>
      <x:c r="C307" t="str">
        <x:v>Davis</x:v>
      </x:c>
      <x:c r="D307" t="str">
        <x:v>peakline systems</x:v>
      </x:c>
      <x:c r="E307" t="str">
        <x:v>liam.davis368@prospect.co</x:v>
      </x:c>
      <x:c r="F307" t="str">
        <x:v>(332) 946-7914</x:v>
      </x:c>
      <x:c r="G307" t="str">
        <x:v>CA</x:v>
      </x:c>
      <x:c r="H307" t="str">
        <x:v>REFERRAL</x:v>
      </x:c>
      <x:c r="I307" t="str">
        <x:v>closed won</x:v>
      </x:c>
      <x:c r="J307" t="str">
        <x:v>Alex Kim</x:v>
      </x:c>
      <x:c r="K307" s="6" t="n">
        <x:v>46212</x:v>
      </x:c>
      <x:c r="L307" s="6" t="n">
        <x:v>46250</x:v>
      </x:c>
      <x:c r="M307" s="6"/>
      <x:c r="N307" s="8" t="n">
        <x:v>48000</x:v>
      </x:c>
      <x:c r="O307" t="str">
        <x:v>Retail</x:v>
      </x:c>
      <x:c r="P307" t="str">
        <x:v>Yes</x:v>
      </x:c>
      <x:c r="Q307" t="str">
        <x:v>Yes</x:v>
      </x:c>
      <x:c r="R307" s="6" t="n">
        <x:v>46251</x:v>
      </x:c>
    </x:row>
    <x:row r="308">
      <x:c r="A308" t="str">
        <x:v>L-0307</x:v>
      </x:c>
      <x:c r="B308" t="str">
        <x:v>Luna</x:v>
      </x:c>
      <x:c r="C308" t="str">
        <x:v>Martin</x:v>
      </x:c>
      <x:c r="D308" t="str">
        <x:v>CEDARWORKS</x:v>
      </x:c>
      <x:c r="E308" t="str">
        <x:v>luna.martin80@prospect.co</x:v>
      </x:c>
      <x:c r="F308" t="str">
        <x:v>(328) 744-2802</x:v>
      </x:c>
      <x:c r="G308" t="str">
        <x:v>CA</x:v>
      </x:c>
      <x:c r="H308" t="str">
        <x:v> Referal </x:v>
      </x:c>
      <x:c r="I308" t="str">
        <x:v>Closed Won</x:v>
      </x:c>
      <x:c r="J308" t="str">
        <x:v>Taylor Morgan</x:v>
      </x:c>
      <x:c r="K308" s="6" t="n">
        <x:v>46149</x:v>
      </x:c>
      <x:c r="L308" s="6" t="n">
        <x:v>46152</x:v>
      </x:c>
      <x:c r="M308" s="6"/>
      <x:c r="N308" s="8" t="n">
        <x:v>82000</x:v>
      </x:c>
      <x:c r="O308" t="str">
        <x:v>Professional Services</x:v>
      </x:c>
      <x:c r="P308" t="str">
        <x:v>Yes</x:v>
      </x:c>
      <x:c r="Q308" t="str">
        <x:v>Yes</x:v>
      </x:c>
      <x:c r="R308" s="6" t="n">
        <x:v>46154</x:v>
      </x:c>
    </x:row>
    <x:row r="309">
      <x:c r="A309" t="str">
        <x:v>L-0308</x:v>
      </x:c>
      <x:c r="B309" t="str">
        <x:v>Noah</x:v>
      </x:c>
      <x:c r="C309" t="str">
        <x:v>garcia</x:v>
      </x:c>
      <x:c r="D309" t="str">
        <x:v>EVERGREEN SERVICES</x:v>
      </x:c>
      <x:c r="E309" t="str">
        <x:v>noah.garcia175@prospect.co</x:v>
      </x:c>
      <x:c r="F309" t="str">
        <x:v>(970) 598-3960</x:v>
      </x:c>
      <x:c r="G309" t="str">
        <x:v>TX</x:v>
      </x:c>
      <x:c r="H309" t="str">
        <x:v>Webinar</x:v>
      </x:c>
      <x:c r="I309" t="str">
        <x:v>Opportunity</x:v>
      </x:c>
      <x:c r="J309" t="str">
        <x:v>Jordan Lee</x:v>
      </x:c>
      <x:c r="K309" s="6" t="n">
        <x:v>46174</x:v>
      </x:c>
      <x:c r="L309" s="6" t="n">
        <x:v>46244</x:v>
      </x:c>
      <x:c r="M309" s="6" t="n">
        <x:v>46255</x:v>
      </x:c>
      <x:c r="N309" s="8" t="n">
        <x:v>52600</x:v>
      </x:c>
      <x:c r="O309" t="str">
        <x:v>Logistics</x:v>
      </x:c>
      <x:c r="P309" t="str">
        <x:v>Yes</x:v>
      </x:c>
      <x:c r="Q309" t="str">
        <x:v>No</x:v>
      </x:c>
      <x:c r="R309" s="6"/>
    </x:row>
    <x:row r="310">
      <x:c r="A310" t="str">
        <x:v>L-0309</x:v>
      </x:c>
      <x:c r="B310" t="str">
        <x:v>SOPHIA</x:v>
      </x:c>
      <x:c r="C310" t="str">
        <x:v>Johnson</x:v>
      </x:c>
      <x:c r="D310" t="str">
        <x:v>Pioneer Tech</x:v>
      </x:c>
      <x:c r="E310" t="str">
        <x:v>sophia.johnson294@prospect.co</x:v>
      </x:c>
      <x:c r="F310" t="str">
        <x:v>639-733-4748</x:v>
      </x:c>
      <x:c r="G310" t="str">
        <x:v>OH</x:v>
      </x:c>
      <x:c r="H310" t="str">
        <x:v>trade show</x:v>
      </x:c>
      <x:c r="I310" t="str">
        <x:v>OPP</x:v>
      </x:c>
      <x:c r="J310" t="str">
        <x:v>Alex Kim</x:v>
      </x:c>
      <x:c r="K310" s="6" t="n">
        <x:v>46200</x:v>
      </x:c>
      <x:c r="L310" s="6" t="n">
        <x:v>46228</x:v>
      </x:c>
      <x:c r="M310" s="6" t="n">
        <x:v>46242</x:v>
      </x:c>
      <x:c r="N310" s="8" t="n">
        <x:v>68400</x:v>
      </x:c>
      <x:c r="O310" t="str">
        <x:v>Retail</x:v>
      </x:c>
      <x:c r="P310" t="str">
        <x:v>Yes</x:v>
      </x:c>
      <x:c r="Q310" t="str">
        <x:v>No</x:v>
      </x:c>
      <x:c r="R310" s="6"/>
    </x:row>
    <x:row r="311">
      <x:c r="A311" t="str">
        <x:v>L-0310</x:v>
      </x:c>
      <x:c r="B311" t="str">
        <x:v>Ava</x:v>
      </x:c>
      <x:c r="C311" t="str">
        <x:v>TAYLOR</x:v>
      </x:c>
      <x:c r="D311" t="str">
        <x:v>Blue Ridge Supply</x:v>
      </x:c>
      <x:c r="E311" t="str">
        <x:v>ava.taylor195@northmail.com</x:v>
      </x:c>
      <x:c r="F311" t="str">
        <x:v>(932) 635-9754</x:v>
      </x:c>
      <x:c r="G311" t="str">
        <x:v>NC</x:v>
      </x:c>
      <x:c r="H311" t="str">
        <x:v>WEBINAR</x:v>
      </x:c>
      <x:c r="I311" t="str">
        <x:v>closed lost</x:v>
      </x:c>
      <x:c r="J311" t="str">
        <x:v> Alex Kim </x:v>
      </x:c>
      <x:c r="K311" s="6" t="n">
        <x:v>46110</x:v>
      </x:c>
      <x:c r="L311" s="6" t="n">
        <x:v>46141</x:v>
      </x:c>
      <x:c r="M311" s="6"/>
      <x:c r="N311" s="8" t="n">
        <x:v>36000</x:v>
      </x:c>
      <x:c r="O311" t="str">
        <x:v>Logistics</x:v>
      </x:c>
      <x:c r="P311" t="str">
        <x:v>Yes</x:v>
      </x:c>
      <x:c r="Q311" t="str">
        <x:v>No</x:v>
      </x:c>
      <x:c r="R311" s="6" t="n">
        <x:v>46149</x:v>
      </x:c>
    </x:row>
    <x:row r="312">
      <x:c r="A312" t="str">
        <x:v>L-0311</x:v>
      </x:c>
      <x:c r="B312" t="str">
        <x:v>Logan</x:v>
      </x:c>
      <x:c r="C312" t="str">
        <x:v>Jones</x:v>
      </x:c>
      <x:c r="D312" t="str">
        <x:v>Pioneer Tech</x:v>
      </x:c>
      <x:c r="E312" t="str">
        <x:v> logan.jones872@northmail.com </x:v>
      </x:c>
      <x:c r="F312" t="str">
        <x:v>(498) 506-8915</x:v>
      </x:c>
      <x:c r="G312" t="str">
        <x:v>AZ</x:v>
      </x:c>
      <x:c r="H312" t="str">
        <x:v>WEBINAR</x:v>
      </x:c>
      <x:c r="I312" t="str">
        <x:v>new</x:v>
      </x:c>
      <x:c r="J312" t="str">
        <x:v>ALEX KIM</x:v>
      </x:c>
      <x:c r="K312" s="6" t="n">
        <x:v>46218</x:v>
      </x:c>
      <x:c r="L312" s="6" t="n">
        <x:v>46239</x:v>
      </x:c>
      <x:c r="M312" s="6" t="n">
        <x:v>46263</x:v>
      </x:c>
      <x:c r="N312" s="8" t="n">
        <x:v>23100</x:v>
      </x:c>
      <x:c r="O312" t="str">
        <x:v>Healthcare</x:v>
      </x:c>
      <x:c r="P312" t="str">
        <x:v>No</x:v>
      </x:c>
      <x:c r="Q312" t="str">
        <x:v>No</x:v>
      </x:c>
      <x:c r="R312" s="6"/>
    </x:row>
    <x:row r="313">
      <x:c r="A313" t="str">
        <x:v>L-0312</x:v>
      </x:c>
      <x:c r="B313" t="str">
        <x:v>Ava</x:v>
      </x:c>
      <x:c r="C313" t="str">
        <x:v>Thompson</x:v>
      </x:c>
      <x:c r="D313" t="str">
        <x:v>Prairie Health</x:v>
      </x:c>
      <x:c r="E313" t="str">
        <x:v>ava.thompson442@mailhub.net</x:v>
      </x:c>
      <x:c r="F313" t="str">
        <x:v>(403) 286-9668</x:v>
      </x:c>
      <x:c r="G313" t="str">
        <x:v>NY</x:v>
      </x:c>
      <x:c r="H313" t="str">
        <x:v>REFERRAL</x:v>
      </x:c>
      <x:c r="I313" t="str">
        <x:v>New</x:v>
      </x:c>
      <x:c r="J313" t="str">
        <x:v>Jordan Lee</x:v>
      </x:c>
      <x:c r="K313" s="6" t="n">
        <x:v>46062</x:v>
      </x:c>
      <x:c r="L313" s="6" t="n">
        <x:v>46109</x:v>
      </x:c>
      <x:c r="M313" s="6" t="n">
        <x:v>46124</x:v>
      </x:c>
      <x:c r="N313" s="8" t="n">
        <x:v>31700</x:v>
      </x:c>
      <x:c r="O313" t="str">
        <x:v>Biotech</x:v>
      </x:c>
      <x:c r="P313" t="str">
        <x:v>No</x:v>
      </x:c>
      <x:c r="Q313" t="str">
        <x:v>No</x:v>
      </x:c>
      <x:c r="R313" s="6"/>
    </x:row>
    <x:row r="314">
      <x:c r="A314" t="str">
        <x:v>L-0313</x:v>
      </x:c>
      <x:c r="B314" t="str">
        <x:v>Harper</x:v>
      </x:c>
      <x:c r="C314" t="str">
        <x:v>Garcia</x:v>
      </x:c>
      <x:c r="D314" t="str">
        <x:v>Blue Ridge Supply</x:v>
      </x:c>
      <x:c r="E314" t="str">
        <x:v>harper.garcia137@mailhub.net</x:v>
      </x:c>
      <x:c r="F314" t="str">
        <x:v>(632) 961-6426</x:v>
      </x:c>
      <x:c r="G314" t="str">
        <x:v>PA</x:v>
      </x:c>
      <x:c r="H314" t="str">
        <x:v>webinar</x:v>
      </x:c>
      <x:c r="I314" t="str">
        <x:v>Contact</x:v>
      </x:c>
      <x:c r="J314" t="str">
        <x:v>jordan lee</x:v>
      </x:c>
      <x:c r="K314" s="6" t="n">
        <x:v>46065</x:v>
      </x:c>
      <x:c r="L314" s="6" t="n">
        <x:v>46115</x:v>
      </x:c>
      <x:c r="M314" s="6" t="n">
        <x:v>46121</x:v>
      </x:c>
      <x:c r="N314" s="8" t="n">
        <x:v>18100</x:v>
      </x:c>
      <x:c r="O314" t="str">
        <x:v>Biotech</x:v>
      </x:c>
      <x:c r="P314" t="str">
        <x:v>No</x:v>
      </x:c>
      <x:c r="Q314" t="str">
        <x:v>No</x:v>
      </x:c>
      <x:c r="R314" s="6"/>
    </x:row>
    <x:row r="315">
      <x:c r="A315" t="str">
        <x:v>L-0314</x:v>
      </x:c>
      <x:c r="B315" t="str">
        <x:v>Noah</x:v>
      </x:c>
      <x:c r="C315" t="str">
        <x:v>Smith</x:v>
      </x:c>
      <x:c r="D315" t="str">
        <x:v>Blue Ridge Supply</x:v>
      </x:c>
      <x:c r="E315" t="str">
        <x:v>noah.smith440@northmail.com</x:v>
      </x:c>
      <x:c r="F315" t="str">
        <x:v>(645) 691-5742</x:v>
      </x:c>
      <x:c r="G315" t="str">
        <x:v>IL</x:v>
      </x:c>
      <x:c r="H315" t="str">
        <x:v>Webinar</x:v>
      </x:c>
      <x:c r="I315" t="str">
        <x:v>Closed-Won</x:v>
      </x:c>
      <x:c r="J315" t="str">
        <x:v>Casey Patel</x:v>
      </x:c>
      <x:c r="K315" s="6" t="n">
        <x:v>46186</x:v>
      </x:c>
      <x:c r="L315" s="6" t="n">
        <x:v>46192</x:v>
      </x:c>
      <x:c r="M315" s="6"/>
      <x:c r="N315" s="8" t="n">
        <x:v>58500</x:v>
      </x:c>
      <x:c r="O315" t="str">
        <x:v>Manufacturing</x:v>
      </x:c>
      <x:c r="P315" t="str">
        <x:v>Yes</x:v>
      </x:c>
      <x:c r="Q315" t="str">
        <x:v>Yes</x:v>
      </x:c>
      <x:c r="R315" s="6" t="n">
        <x:v>46196</x:v>
      </x:c>
    </x:row>
    <x:row r="316">
      <x:c r="A316" t="str">
        <x:v>L-0315</x:v>
      </x:c>
      <x:c r="B316" t="str">
        <x:v>Noah</x:v>
      </x:c>
      <x:c r="C316" t="str">
        <x:v>Martin</x:v>
      </x:c>
      <x:c r="D316" t="str">
        <x:v>CedarWorks</x:v>
      </x:c>
      <x:c r="E316" t="str">
        <x:v>noah.martin952@examplebiz.com</x:v>
      </x:c>
      <x:c r="F316" t="str">
        <x:v>(637) 218-4270</x:v>
      </x:c>
      <x:c r="G316" t="str">
        <x:v>WA</x:v>
      </x:c>
      <x:c r="H316" t="str">
        <x:v>trade show</x:v>
      </x:c>
      <x:c r="I316" t="str">
        <x:v>new</x:v>
      </x:c>
      <x:c r="J316" t="str"/>
      <x:c r="K316" s="6" t="n">
        <x:v>46216</x:v>
      </x:c>
      <x:c r="L316" s="6" t="n">
        <x:v>46224</x:v>
      </x:c>
      <x:c r="M316" s="6" t="n">
        <x:v>46239</x:v>
      </x:c>
      <x:c r="N316" s="8" t="n">
        <x:v>5700</x:v>
      </x:c>
      <x:c r="O316" t="str">
        <x:v>Retail</x:v>
      </x:c>
      <x:c r="P316" t="str">
        <x:v>No</x:v>
      </x:c>
      <x:c r="Q316" t="str">
        <x:v>No</x:v>
      </x:c>
      <x:c r="R316" s="6"/>
    </x:row>
    <x:row r="317">
      <x:c r="A317" t="str">
        <x:v>L-0316</x:v>
      </x:c>
      <x:c r="B317" t="str">
        <x:v>Sophia</x:v>
      </x:c>
      <x:c r="C317" t="str">
        <x:v>Anderson</x:v>
      </x:c>
      <x:c r="D317" t="str">
        <x:v>vertex solutions</x:v>
      </x:c>
      <x:c r="E317" t="str">
        <x:v>sophia.anderson293@mailhub.net</x:v>
      </x:c>
      <x:c r="F317" t="str">
        <x:v>(487) 821-2650</x:v>
      </x:c>
      <x:c r="G317" t="str">
        <x:v>IL</x:v>
      </x:c>
      <x:c r="H317" t="str">
        <x:v>EMAIL</x:v>
      </x:c>
      <x:c r="I317" t="str">
        <x:v>New</x:v>
      </x:c>
      <x:c r="J317" t="str">
        <x:v>Taylor Morgan</x:v>
      </x:c>
      <x:c r="K317" s="6" t="n">
        <x:v>46246</x:v>
      </x:c>
      <x:c r="L317" s="6" t="n">
        <x:v>46246</x:v>
      </x:c>
      <x:c r="M317" s="6" t="n">
        <x:v>46270</x:v>
      </x:c>
      <x:c r="N317" s="8" t="n">
        <x:v>63900</x:v>
      </x:c>
      <x:c r="O317" t="str">
        <x:v>Retail</x:v>
      </x:c>
      <x:c r="P317" t="str">
        <x:v>No</x:v>
      </x:c>
      <x:c r="Q317" t="str">
        <x:v>No</x:v>
      </x:c>
      <x:c r="R317" s="6"/>
    </x:row>
    <x:row r="318">
      <x:c r="A318" t="str">
        <x:v>L-0317</x:v>
      </x:c>
      <x:c r="B318" t="str">
        <x:v> Olivia </x:v>
      </x:c>
      <x:c r="C318" t="str">
        <x:v>Perez</x:v>
      </x:c>
      <x:c r="D318" t="str">
        <x:v>SILVERLINE FOODS</x:v>
      </x:c>
      <x:c r="E318" t="str">
        <x:v>olivia.perez838@examplebiz.com</x:v>
      </x:c>
      <x:c r="F318" t="str">
        <x:v>(398) 921-8303</x:v>
      </x:c>
      <x:c r="G318" t="str">
        <x:v>TX</x:v>
      </x:c>
      <x:c r="H318" t="str">
        <x:v>WEB</x:v>
      </x:c>
      <x:c r="I318" t="str">
        <x:v>OPP</x:v>
      </x:c>
      <x:c r="J318" t="str">
        <x:v>Jamie Brooks</x:v>
      </x:c>
      <x:c r="K318" s="6" t="n">
        <x:v>46216</x:v>
      </x:c>
      <x:c r="L318" s="6" t="n">
        <x:v>46218</x:v>
      </x:c>
      <x:c r="M318" s="6" t="n">
        <x:v>46239</x:v>
      </x:c>
      <x:c r="N318" s="8" t="n">
        <x:v>82400</x:v>
      </x:c>
      <x:c r="O318" t="str">
        <x:v>Technology</x:v>
      </x:c>
      <x:c r="P318" t="str">
        <x:v>Yes</x:v>
      </x:c>
      <x:c r="Q318" t="str">
        <x:v>No</x:v>
      </x:c>
      <x:c r="R318" s="6"/>
    </x:row>
    <x:row r="319">
      <x:c r="A319" t="str">
        <x:v>L-0318</x:v>
      </x:c>
      <x:c r="B319" t="str">
        <x:v>Logan</x:v>
      </x:c>
      <x:c r="C319" t="str">
        <x:v> Moore </x:v>
      </x:c>
      <x:c r="D319" t="str">
        <x:v>Summit Analytics</x:v>
      </x:c>
      <x:c r="E319" t="str">
        <x:v>logan.moore991@examplebiz.com</x:v>
      </x:c>
      <x:c r="F319" t="str">
        <x:v>(497) 246-1996</x:v>
      </x:c>
      <x:c r="G319" t="str">
        <x:v>TX</x:v>
      </x:c>
      <x:c r="H319" t="str">
        <x:v>webinar</x:v>
      </x:c>
      <x:c r="I319" t="str">
        <x:v>QUALIFIED</x:v>
      </x:c>
      <x:c r="J319" t="str">
        <x:v> Jamie Brooks </x:v>
      </x:c>
      <x:c r="K319" s="6" t="n">
        <x:v>46118</x:v>
      </x:c>
      <x:c r="L319" s="6" t="n">
        <x:v>46123</x:v>
      </x:c>
      <x:c r="M319" s="6" t="n">
        <x:v>46131</x:v>
      </x:c>
      <x:c r="N319" s="8" t="n">
        <x:v>51900</x:v>
      </x:c>
      <x:c r="O319" t="str">
        <x:v>Professional Services</x:v>
      </x:c>
      <x:c r="P319" t="str">
        <x:v>Yes</x:v>
      </x:c>
      <x:c r="Q319" t="str">
        <x:v>No</x:v>
      </x:c>
      <x:c r="R319" s="6"/>
    </x:row>
    <x:row r="320">
      <x:c r="A320" t="str">
        <x:v>L-0319</x:v>
      </x:c>
      <x:c r="B320" t="str">
        <x:v>ava</x:v>
      </x:c>
      <x:c r="C320" t="str">
        <x:v>Garcia</x:v>
      </x:c>
      <x:c r="D320" t="str">
        <x:v>APEX MANUFACTURING</x:v>
      </x:c>
      <x:c r="E320" t="str">
        <x:v>ava.garcia726@prospect.co</x:v>
      </x:c>
      <x:c r="F320" t="str">
        <x:v>(766) 321-3803</x:v>
      </x:c>
      <x:c r="G320" t="str">
        <x:v>GA</x:v>
      </x:c>
      <x:c r="H320" t="str">
        <x:v>Webinar</x:v>
      </x:c>
      <x:c r="I320" t="str">
        <x:v>OPP</x:v>
      </x:c>
      <x:c r="J320" t="str">
        <x:v>casey patel</x:v>
      </x:c>
      <x:c r="K320" s="6" t="n">
        <x:v>46112</x:v>
      </x:c>
      <x:c r="L320" s="6" t="n">
        <x:v>46178</x:v>
      </x:c>
      <x:c r="M320" s="6" t="n">
        <x:v>46190</x:v>
      </x:c>
      <x:c r="N320" s="8" t="n">
        <x:v>72800</x:v>
      </x:c>
      <x:c r="O320" t="str">
        <x:v>Healthcare</x:v>
      </x:c>
      <x:c r="P320" t="str">
        <x:v>Yes</x:v>
      </x:c>
      <x:c r="Q320" t="str">
        <x:v>No</x:v>
      </x:c>
      <x:c r="R320" s="6"/>
    </x:row>
    <x:row r="321">
      <x:c r="A321" t="str">
        <x:v>L-0320</x:v>
      </x:c>
      <x:c r="B321" t="str">
        <x:v>Logan</x:v>
      </x:c>
      <x:c r="C321" t="str">
        <x:v>Thompson</x:v>
      </x:c>
      <x:c r="D321" t="str">
        <x:v>Pioneer Tech</x:v>
      </x:c>
      <x:c r="E321" t="str">
        <x:v>logan.thompson302@prospect.co</x:v>
      </x:c>
      <x:c r="F321" t="str">
        <x:v>(259) 840-1170</x:v>
      </x:c>
      <x:c r="G321" t="str">
        <x:v>TX</x:v>
      </x:c>
      <x:c r="H321" t="str">
        <x:v>outbound</x:v>
      </x:c>
      <x:c r="I321" t="str">
        <x:v>Closed-Won</x:v>
      </x:c>
      <x:c r="J321" t="str">
        <x:v>Alex Kim</x:v>
      </x:c>
      <x:c r="K321" s="6" t="n">
        <x:v>46179</x:v>
      </x:c>
      <x:c r="L321" s="6" t="n">
        <x:v>46196</x:v>
      </x:c>
      <x:c r="M321" s="6"/>
      <x:c r="N321" s="8" t="n">
        <x:v>36200</x:v>
      </x:c>
      <x:c r="O321" t="str">
        <x:v>Biotech</x:v>
      </x:c>
      <x:c r="P321" t="str">
        <x:v>Yes</x:v>
      </x:c>
      <x:c r="Q321" t="str">
        <x:v>Yes</x:v>
      </x:c>
      <x:c r="R321" s="6" t="n">
        <x:v>46197</x:v>
      </x:c>
    </x:row>
    <x:row r="322">
      <x:c r="A322" t="str">
        <x:v>L-0321</x:v>
      </x:c>
      <x:c r="B322" t="str">
        <x:v>Sophia</x:v>
      </x:c>
      <x:c r="C322" t="str">
        <x:v> Miller </x:v>
      </x:c>
      <x:c r="D322" t="str">
        <x:v>silverline foods</x:v>
      </x:c>
      <x:c r="E322" t="str">
        <x:v>sophia.miller471@examplebiz.com</x:v>
      </x:c>
      <x:c r="F322" t="str">
        <x:v>(381) 393-9036</x:v>
      </x:c>
      <x:c r="G322" t="str">
        <x:v>NC</x:v>
      </x:c>
      <x:c r="H322" t="str">
        <x:v> Website </x:v>
      </x:c>
      <x:c r="I322" t="str">
        <x:v>Opportunity</x:v>
      </x:c>
      <x:c r="J322" t="str">
        <x:v>Taylor Morgan</x:v>
      </x:c>
      <x:c r="K322" s="6" t="n">
        <x:v>46152</x:v>
      </x:c>
      <x:c r="L322" s="6" t="n">
        <x:v>46170</x:v>
      </x:c>
      <x:c r="M322" s="6" t="n">
        <x:v>46188</x:v>
      </x:c>
      <x:c r="N322" s="8" t="n">
        <x:v>10200</x:v>
      </x:c>
      <x:c r="O322" t="str">
        <x:v>Manufacturing</x:v>
      </x:c>
      <x:c r="P322" t="str">
        <x:v>Yes</x:v>
      </x:c>
      <x:c r="Q322" t="str">
        <x:v>No</x:v>
      </x:c>
      <x:c r="R322" s="6"/>
    </x:row>
    <x:row r="323">
      <x:c r="A323" t="str">
        <x:v>L-0322</x:v>
      </x:c>
      <x:c r="B323" t="str">
        <x:v> Emma </x:v>
      </x:c>
      <x:c r="C323" t="str">
        <x:v>Smith</x:v>
      </x:c>
      <x:c r="D323" t="str">
        <x:v>Summit Analytics</x:v>
      </x:c>
      <x:c r="E323" t="str">
        <x:v>emma.smith255@northmail.com</x:v>
      </x:c>
      <x:c r="F323" t="str">
        <x:v>(475) 346-1221</x:v>
      </x:c>
      <x:c r="G323" t="str">
        <x:v>AZ</x:v>
      </x:c>
      <x:c r="H323" t="str">
        <x:v>WEB</x:v>
      </x:c>
      <x:c r="I323" t="str">
        <x:v>Closed-Won</x:v>
      </x:c>
      <x:c r="J323" t="str"/>
      <x:c r="K323" s="6" t="n">
        <x:v>46051</x:v>
      </x:c>
      <x:c r="L323" s="6" t="n">
        <x:v>46215</x:v>
      </x:c>
      <x:c r="M323" s="6"/>
      <x:c r="N323" s="8" t="n">
        <x:v>79600</x:v>
      </x:c>
      <x:c r="O323" t="str">
        <x:v>Professional Services</x:v>
      </x:c>
      <x:c r="P323" t="str">
        <x:v>Yes</x:v>
      </x:c>
      <x:c r="Q323" t="str">
        <x:v>Yes</x:v>
      </x:c>
      <x:c r="R323" s="6" t="n">
        <x:v>46216</x:v>
      </x:c>
    </x:row>
    <x:row r="324">
      <x:c r="A324" t="str">
        <x:v>L-0323</x:v>
      </x:c>
      <x:c r="B324" t="str">
        <x:v>Emma</x:v>
      </x:c>
      <x:c r="C324" t="str">
        <x:v>Davis</x:v>
      </x:c>
      <x:c r="D324" t="str"/>
      <x:c r="E324" t="str">
        <x:v>emma.davis908@mailhub.net</x:v>
      </x:c>
      <x:c r="F324" t="str">
        <x:v>(346) 201-4675</x:v>
      </x:c>
      <x:c r="G324" t="str">
        <x:v>OH</x:v>
      </x:c>
      <x:c r="H324" t="str">
        <x:v>Tradeshow</x:v>
      </x:c>
      <x:c r="I324" t="str">
        <x:v>New</x:v>
      </x:c>
      <x:c r="J324" t="str">
        <x:v>Alex Kim</x:v>
      </x:c>
      <x:c r="K324" s="6" t="n">
        <x:v>46235</x:v>
      </x:c>
      <x:c r="L324" s="6" t="n">
        <x:v>46238</x:v>
      </x:c>
      <x:c r="M324" s="6" t="n">
        <x:v>46258</x:v>
      </x:c>
      <x:c r="N324" s="8" t="n">
        <x:v>27000</x:v>
      </x:c>
      <x:c r="O324" t="str">
        <x:v>Financial Services</x:v>
      </x:c>
      <x:c r="P324" t="str">
        <x:v>No</x:v>
      </x:c>
      <x:c r="Q324" t="str">
        <x:v>No</x:v>
      </x:c>
      <x:c r="R324" s="6"/>
    </x:row>
    <x:row r="325">
      <x:c r="A325" t="str">
        <x:v>L-0324</x:v>
      </x:c>
      <x:c r="B325" t="str">
        <x:v>Lucas</x:v>
      </x:c>
      <x:c r="C325" t="str">
        <x:v>Anderson</x:v>
      </x:c>
      <x:c r="D325" t="str">
        <x:v>BrightPath Health</x:v>
      </x:c>
      <x:c r="E325" t="str">
        <x:v>lucas.anderson439@prospect.co</x:v>
      </x:c>
      <x:c r="F325" t="str">
        <x:v>815-385-7967</x:v>
      </x:c>
      <x:c r="G325" t="str">
        <x:v>TX</x:v>
      </x:c>
      <x:c r="H325" t="str">
        <x:v>Referral</x:v>
      </x:c>
      <x:c r="I325" t="str">
        <x:v>closed lost</x:v>
      </x:c>
      <x:c r="J325" t="str">
        <x:v>Taylor Morgan</x:v>
      </x:c>
      <x:c r="K325" s="6" t="n">
        <x:v>46225</x:v>
      </x:c>
      <x:c r="L325" s="6" t="n">
        <x:v>46226</x:v>
      </x:c>
      <x:c r="M325" s="6"/>
      <x:c r="N325" s="8" t="n">
        <x:v>52400</x:v>
      </x:c>
      <x:c r="O325" t="str">
        <x:v>Biotech</x:v>
      </x:c>
      <x:c r="P325" t="str">
        <x:v>Yes</x:v>
      </x:c>
      <x:c r="Q325" t="str">
        <x:v>No</x:v>
      </x:c>
      <x:c r="R325" s="6" t="n">
        <x:v>46233</x:v>
      </x:c>
    </x:row>
    <x:row r="326">
      <x:c r="A326" t="str">
        <x:v>L-0325</x:v>
      </x:c>
      <x:c r="B326" t="str">
        <x:v>Emma</x:v>
      </x:c>
      <x:c r="C326" t="str">
        <x:v>Wilson</x:v>
      </x:c>
      <x:c r="D326" t="str">
        <x:v>blue ridge supply</x:v>
      </x:c>
      <x:c r="E326" t="str">
        <x:v>emma.wilson983@prospect.co</x:v>
      </x:c>
      <x:c r="F326" t="str">
        <x:v>(349) 292-6292</x:v>
      </x:c>
      <x:c r="G326" t="str">
        <x:v>NC</x:v>
      </x:c>
      <x:c r="H326" t="str">
        <x:v>Linked In</x:v>
      </x:c>
      <x:c r="I326" t="str">
        <x:v>Closed-Won</x:v>
      </x:c>
      <x:c r="J326" t="str">
        <x:v>Morgan Reed</x:v>
      </x:c>
      <x:c r="K326" s="6" t="n">
        <x:v>46124</x:v>
      </x:c>
      <x:c r="L326" s="6" t="n">
        <x:v>46141</x:v>
      </x:c>
      <x:c r="M326" s="6"/>
      <x:c r="N326" s="8" t="n">
        <x:v>11800</x:v>
      </x:c>
      <x:c r="O326" t="str">
        <x:v>Professional Services</x:v>
      </x:c>
      <x:c r="P326" t="str">
        <x:v>Yes</x:v>
      </x:c>
      <x:c r="Q326" t="str">
        <x:v>Yes</x:v>
      </x:c>
      <x:c r="R326" s="6" t="n">
        <x:v>46147</x:v>
      </x:c>
    </x:row>
    <x:row r="327">
      <x:c r="A327" t="str">
        <x:v>L-0326</x:v>
      </x:c>
      <x:c r="B327" t="str">
        <x:v>Elijah</x:v>
      </x:c>
      <x:c r="C327" t="str">
        <x:v>Lee</x:v>
      </x:c>
      <x:c r="D327" t="str">
        <x:v>atlas commerce</x:v>
      </x:c>
      <x:c r="E327" t="str">
        <x:v>elijah.lee3@examplebiz.com</x:v>
      </x:c>
      <x:c r="F327" t="str">
        <x:v>(218) 571-8764</x:v>
      </x:c>
      <x:c r="G327" t="str">
        <x:v>AZ</x:v>
      </x:c>
      <x:c r="H327" t="str">
        <x:v> Website </x:v>
      </x:c>
      <x:c r="I327" t="str">
        <x:v>Opportunity</x:v>
      </x:c>
      <x:c r="J327" t="str">
        <x:v> Casey Patel </x:v>
      </x:c>
      <x:c r="K327" s="6" t="n">
        <x:v>46112</x:v>
      </x:c>
      <x:c r="L327" s="6" t="n">
        <x:v>46168</x:v>
      </x:c>
      <x:c r="M327" s="6" t="n">
        <x:v>46193</x:v>
      </x:c>
      <x:c r="N327" s="8" t="n">
        <x:v>9700</x:v>
      </x:c>
      <x:c r="O327" t="str">
        <x:v>Retail</x:v>
      </x:c>
      <x:c r="P327" t="str">
        <x:v>Yes</x:v>
      </x:c>
      <x:c r="Q327" t="str">
        <x:v>No</x:v>
      </x:c>
      <x:c r="R327" s="6"/>
    </x:row>
    <x:row r="328">
      <x:c r="A328" t="str">
        <x:v>L-0327</x:v>
      </x:c>
      <x:c r="B328" t="str">
        <x:v>mason</x:v>
      </x:c>
      <x:c r="C328" t="str">
        <x:v> Johnson </x:v>
      </x:c>
      <x:c r="D328" t="str"/>
      <x:c r="E328" t="str">
        <x:v>mason.johnson109@northmail.com</x:v>
      </x:c>
      <x:c r="F328" t="str">
        <x:v>(689) 808-3591</x:v>
      </x:c>
      <x:c r="G328" t="str">
        <x:v>PA</x:v>
      </x:c>
      <x:c r="H328" t="str">
        <x:v>LINKEDIN</x:v>
      </x:c>
      <x:c r="I328" t="str">
        <x:v>Contact</x:v>
      </x:c>
      <x:c r="J328" t="str">
        <x:v>Jamie Brooks</x:v>
      </x:c>
      <x:c r="K328" s="6" t="n">
        <x:v>46240</x:v>
      </x:c>
      <x:c r="L328" s="6" t="n">
        <x:v>46251</x:v>
      </x:c>
      <x:c r="M328" s="6" t="n">
        <x:v>46267</x:v>
      </x:c>
      <x:c r="N328" s="8" t="n">
        <x:v>33200</x:v>
      </x:c>
      <x:c r="O328" t="str">
        <x:v>Technology</x:v>
      </x:c>
      <x:c r="P328" t="str">
        <x:v>No</x:v>
      </x:c>
      <x:c r="Q328" t="str">
        <x:v>No</x:v>
      </x:c>
      <x:c r="R328" s="6"/>
    </x:row>
    <x:row r="329">
      <x:c r="A329" t="str">
        <x:v>L-0328</x:v>
      </x:c>
      <x:c r="B329" t="str">
        <x:v>Isabella</x:v>
      </x:c>
      <x:c r="C329" t="str">
        <x:v>moore</x:v>
      </x:c>
      <x:c r="D329" t="str">
        <x:v>Northstar Labs</x:v>
      </x:c>
      <x:c r="E329" t="str">
        <x:v>isabella.moore165@northmail.com</x:v>
      </x:c>
      <x:c r="F329" t="str">
        <x:v>(606) 633-8443</x:v>
      </x:c>
      <x:c r="G329" t="str">
        <x:v>TX</x:v>
      </x:c>
      <x:c r="H329" t="str">
        <x:v> Website </x:v>
      </x:c>
      <x:c r="I329" t="str">
        <x:v>Closed Won</x:v>
      </x:c>
      <x:c r="J329" t="str">
        <x:v> Alex Kim </x:v>
      </x:c>
      <x:c r="K329" s="6" t="n">
        <x:v>46238</x:v>
      </x:c>
      <x:c r="L329" s="6" t="n">
        <x:v>46247</x:v>
      </x:c>
      <x:c r="M329" s="6"/>
      <x:c r="N329" s="8" t="n">
        <x:v>64500</x:v>
      </x:c>
      <x:c r="O329" t="str">
        <x:v>Financial Services</x:v>
      </x:c>
      <x:c r="P329" t="str">
        <x:v>Yes</x:v>
      </x:c>
      <x:c r="Q329" t="str">
        <x:v>Yes</x:v>
      </x:c>
      <x:c r="R329" s="6" t="n">
        <x:v>46249</x:v>
      </x:c>
    </x:row>
    <x:row r="330">
      <x:c r="A330" t="str">
        <x:v>L-0329</x:v>
      </x:c>
      <x:c r="B330" t="str">
        <x:v>ethan</x:v>
      </x:c>
      <x:c r="C330" t="str">
        <x:v> Lee </x:v>
      </x:c>
      <x:c r="D330" t="str">
        <x:v>BRIGHTPATH HEALTH</x:v>
      </x:c>
      <x:c r="E330" t="str">
        <x:v>ethan.lee663@mailhub.net</x:v>
      </x:c>
      <x:c r="F330" t="str">
        <x:v>(400) 476-2776</x:v>
      </x:c>
      <x:c r="G330" t="str">
        <x:v>NC</x:v>
      </x:c>
      <x:c r="H330" t="str">
        <x:v>referral</x:v>
      </x:c>
      <x:c r="I330" t="str">
        <x:v>OPP</x:v>
      </x:c>
      <x:c r="J330" t="str">
        <x:v>Casey Patel</x:v>
      </x:c>
      <x:c r="K330" s="6" t="n">
        <x:v>46035</x:v>
      </x:c>
      <x:c r="L330" s="6" t="n">
        <x:v>46132</x:v>
      </x:c>
      <x:c r="M330" s="6" t="n">
        <x:v>46140</x:v>
      </x:c>
      <x:c r="N330" s="8" t="n">
        <x:v>7000</x:v>
      </x:c>
      <x:c r="O330" t="str">
        <x:v>Logistics</x:v>
      </x:c>
      <x:c r="P330" t="str">
        <x:v>Yes</x:v>
      </x:c>
      <x:c r="Q330" t="str">
        <x:v>No</x:v>
      </x:c>
      <x:c r="R330" s="6"/>
    </x:row>
    <x:row r="331">
      <x:c r="A331" t="str">
        <x:v>L-0330</x:v>
      </x:c>
      <x:c r="B331" t="str">
        <x:v>Mason</x:v>
      </x:c>
      <x:c r="C331" t="str">
        <x:v>Rodriguez</x:v>
      </x:c>
      <x:c r="D331" t="str">
        <x:v>BrightPath Health</x:v>
      </x:c>
      <x:c r="E331" t="str">
        <x:v>mason.rodriguez366@prospect.co</x:v>
      </x:c>
      <x:c r="F331" t="str">
        <x:v>608-712-4192</x:v>
      </x:c>
      <x:c r="G331" t="str">
        <x:v>WA</x:v>
      </x:c>
      <x:c r="H331" t="str">
        <x:v>Cold Outreach</x:v>
      </x:c>
      <x:c r="I331" t="str">
        <x:v>Qual</x:v>
      </x:c>
      <x:c r="J331" t="str">
        <x:v>Jordan Lee</x:v>
      </x:c>
      <x:c r="K331" s="6" t="n">
        <x:v>46234</x:v>
      </x:c>
      <x:c r="L331" s="6" t="n">
        <x:v>46244</x:v>
      </x:c>
      <x:c r="M331" s="6" t="n">
        <x:v>46249</x:v>
      </x:c>
      <x:c r="N331" s="8" t="n">
        <x:v>80300</x:v>
      </x:c>
      <x:c r="O331" t="str">
        <x:v>Healthcare</x:v>
      </x:c>
      <x:c r="P331" t="str">
        <x:v>Yes</x:v>
      </x:c>
      <x:c r="Q331" t="str">
        <x:v>No</x:v>
      </x:c>
      <x:c r="R331" s="6"/>
    </x:row>
    <x:row r="332">
      <x:c r="A332" t="str">
        <x:v>L-0331</x:v>
      </x:c>
      <x:c r="B332" t="str">
        <x:v>Liam</x:v>
      </x:c>
      <x:c r="C332" t="str">
        <x:v>Martinez</x:v>
      </x:c>
      <x:c r="D332" t="str">
        <x:v>CedarWorks</x:v>
      </x:c>
      <x:c r="E332" t="str">
        <x:v>liam.martinez827@examplebiz.com</x:v>
      </x:c>
      <x:c r="F332" t="str">
        <x:v>(988) 935-3638</x:v>
      </x:c>
      <x:c r="G332" t="str">
        <x:v>OH</x:v>
      </x:c>
      <x:c r="H332" t="str">
        <x:v>WEBINAR</x:v>
      </x:c>
      <x:c r="I332" t="str">
        <x:v>Closed-Won</x:v>
      </x:c>
      <x:c r="J332" t="str">
        <x:v>Taylor Morgan</x:v>
      </x:c>
      <x:c r="K332" s="6" t="n">
        <x:v>46223</x:v>
      </x:c>
      <x:c r="L332" s="6" t="n">
        <x:v>46245</x:v>
      </x:c>
      <x:c r="M332" s="6"/>
      <x:c r="N332" s="8" t="n">
        <x:v>21600</x:v>
      </x:c>
      <x:c r="O332" t="str">
        <x:v>Manufacturing</x:v>
      </x:c>
      <x:c r="P332" t="str">
        <x:v>Yes</x:v>
      </x:c>
      <x:c r="Q332" t="str">
        <x:v>Yes</x:v>
      </x:c>
      <x:c r="R332" s="6" t="n">
        <x:v>46251</x:v>
      </x:c>
    </x:row>
    <x:row r="333">
      <x:c r="A333" t="str">
        <x:v>L-0332</x:v>
      </x:c>
      <x:c r="B333" t="str">
        <x:v> Henry </x:v>
      </x:c>
      <x:c r="C333" t="str">
        <x:v>Thompson</x:v>
      </x:c>
      <x:c r="D333" t="str">
        <x:v>BrightPath Health</x:v>
      </x:c>
      <x:c r="E333" t="str">
        <x:v>henry.thompson561@northmail.com</x:v>
      </x:c>
      <x:c r="F333" t="str">
        <x:v>(711) 296-8451</x:v>
      </x:c>
      <x:c r="G333" t="str">
        <x:v>WA</x:v>
      </x:c>
      <x:c r="H333" t="str">
        <x:v>TRADE SHOW</x:v>
      </x:c>
      <x:c r="I333" t="str">
        <x:v>qualified</x:v>
      </x:c>
      <x:c r="J333" t="str">
        <x:v>Casey Patel</x:v>
      </x:c>
      <x:c r="K333" s="6" t="n">
        <x:v>46040</x:v>
      </x:c>
      <x:c r="L333" s="6" t="n">
        <x:v>46043</x:v>
      </x:c>
      <x:c r="M333" s="6" t="n">
        <x:v>46050</x:v>
      </x:c>
      <x:c r="N333" s="8" t="n">
        <x:v>65700</x:v>
      </x:c>
      <x:c r="O333" t="str">
        <x:v>Manufacturing</x:v>
      </x:c>
      <x:c r="P333" t="str">
        <x:v>Yes</x:v>
      </x:c>
      <x:c r="Q333" t="str">
        <x:v>No</x:v>
      </x:c>
      <x:c r="R333" s="6"/>
    </x:row>
    <x:row r="334">
      <x:c r="A334" t="str">
        <x:v>L-0333</x:v>
      </x:c>
      <x:c r="B334" t="str">
        <x:v>Luna</x:v>
      </x:c>
      <x:c r="C334" t="str">
        <x:v>Jackson</x:v>
      </x:c>
      <x:c r="D334" t="str">
        <x:v>peakline systems</x:v>
      </x:c>
      <x:c r="E334" t="str">
        <x:v> luna.jackson866@prospect.co </x:v>
      </x:c>
      <x:c r="F334" t="str">
        <x:v>(583) 285-7769</x:v>
      </x:c>
      <x:c r="G334" t="str">
        <x:v>NY</x:v>
      </x:c>
      <x:c r="H334" t="str">
        <x:v> Referal </x:v>
      </x:c>
      <x:c r="I334" t="str">
        <x:v>Closed Won</x:v>
      </x:c>
      <x:c r="J334" t="str">
        <x:v>Alex Kim</x:v>
      </x:c>
      <x:c r="K334" s="6" t="n">
        <x:v>46072</x:v>
      </x:c>
      <x:c r="L334" s="6" t="n">
        <x:v>46105</x:v>
      </x:c>
      <x:c r="M334" s="6"/>
      <x:c r="N334" s="8" t="n">
        <x:v>38900</x:v>
      </x:c>
      <x:c r="O334" t="str">
        <x:v>Biotech</x:v>
      </x:c>
      <x:c r="P334" t="str">
        <x:v>Yes</x:v>
      </x:c>
      <x:c r="Q334" t="str">
        <x:v>Yes</x:v>
      </x:c>
      <x:c r="R334" s="6" t="n">
        <x:v>46108</x:v>
      </x:c>
    </x:row>
    <x:row r="335">
      <x:c r="A335" t="str">
        <x:v>L-0334</x:v>
      </x:c>
      <x:c r="B335" t="str">
        <x:v>Harper</x:v>
      </x:c>
      <x:c r="C335" t="str">
        <x:v>WILLIAMS</x:v>
      </x:c>
      <x:c r="D335" t="str">
        <x:v>pioneer tech</x:v>
      </x:c>
      <x:c r="E335" t="str">
        <x:v>harper.williams111@mailhub.net</x:v>
      </x:c>
      <x:c r="F335" t="str">
        <x:v>(987) 643-4268</x:v>
      </x:c>
      <x:c r="G335" t="str">
        <x:v>NC</x:v>
      </x:c>
      <x:c r="H335" t="str">
        <x:v>LINKEDIN</x:v>
      </x:c>
      <x:c r="I335" t="str">
        <x:v>Closed Lost</x:v>
      </x:c>
      <x:c r="J335" t="str">
        <x:v>Jamie Brooks</x:v>
      </x:c>
      <x:c r="K335" s="6" t="n">
        <x:v>46127</x:v>
      </x:c>
      <x:c r="L335" s="6" t="n">
        <x:v>46140</x:v>
      </x:c>
      <x:c r="M335" s="6"/>
      <x:c r="N335" s="8" t="n">
        <x:v>9600</x:v>
      </x:c>
      <x:c r="O335" t="str">
        <x:v>Logistics</x:v>
      </x:c>
      <x:c r="P335" t="str">
        <x:v>Yes</x:v>
      </x:c>
      <x:c r="Q335" t="str">
        <x:v>No</x:v>
      </x:c>
      <x:c r="R335" s="6" t="n">
        <x:v>46141</x:v>
      </x:c>
    </x:row>
    <x:row r="336">
      <x:c r="A336" t="str">
        <x:v>L-0335</x:v>
      </x:c>
      <x:c r="B336" t="str">
        <x:v>Amelia</x:v>
      </x:c>
      <x:c r="C336" t="str">
        <x:v>Johnson</x:v>
      </x:c>
      <x:c r="D336" t="str">
        <x:v>pioneer tech</x:v>
      </x:c>
      <x:c r="E336" t="str">
        <x:v>amelia.johnson181@northmail.com</x:v>
      </x:c>
      <x:c r="F336" t="str">
        <x:v>(346) 270-5487</x:v>
      </x:c>
      <x:c r="G336" t="str">
        <x:v>NC</x:v>
      </x:c>
      <x:c r="H336" t="str">
        <x:v>WEB</x:v>
      </x:c>
      <x:c r="I336" t="str">
        <x:v>contacted</x:v>
      </x:c>
      <x:c r="J336" t="str">
        <x:v> Jamie Brooks </x:v>
      </x:c>
      <x:c r="K336" s="6" t="n">
        <x:v>46241</x:v>
      </x:c>
      <x:c r="L336" s="6" t="n">
        <x:v>46251</x:v>
      </x:c>
      <x:c r="M336" s="6" t="n">
        <x:v>46267</x:v>
      </x:c>
      <x:c r="N336" s="8" t="n">
        <x:v>24800</x:v>
      </x:c>
      <x:c r="O336" t="str">
        <x:v>Professional Services</x:v>
      </x:c>
      <x:c r="P336" t="str">
        <x:v>No</x:v>
      </x:c>
      <x:c r="Q336" t="str">
        <x:v>No</x:v>
      </x:c>
      <x:c r="R336" s="6"/>
    </x:row>
    <x:row r="337">
      <x:c r="A337" t="str">
        <x:v>L-0336</x:v>
      </x:c>
      <x:c r="B337" t="str">
        <x:v>James</x:v>
      </x:c>
      <x:c r="C337" t="str">
        <x:v>Jackson</x:v>
      </x:c>
      <x:c r="D337" t="str">
        <x:v>Atlas Commerce</x:v>
      </x:c>
      <x:c r="E337" t="str">
        <x:v>james.jackson802@examplebiz.com</x:v>
      </x:c>
      <x:c r="F337" t="str">
        <x:v>(280) 940-3369</x:v>
      </x:c>
      <x:c r="G337" t="str">
        <x:v>PA</x:v>
      </x:c>
      <x:c r="H337" t="str">
        <x:v>WEBINAR</x:v>
      </x:c>
      <x:c r="I337" t="str">
        <x:v>Closed-Lost</x:v>
      </x:c>
      <x:c r="J337" t="str">
        <x:v>Alex Kim</x:v>
      </x:c>
      <x:c r="K337" s="6" t="n">
        <x:v>46100</x:v>
      </x:c>
      <x:c r="L337" s="6" t="n">
        <x:v>46199</x:v>
      </x:c>
      <x:c r="M337" s="6"/>
      <x:c r="N337" s="8" t="n">
        <x:v>70400</x:v>
      </x:c>
      <x:c r="O337" t="str">
        <x:v>Manufacturing</x:v>
      </x:c>
      <x:c r="P337" t="str">
        <x:v>Yes</x:v>
      </x:c>
      <x:c r="Q337" t="str">
        <x:v>No</x:v>
      </x:c>
      <x:c r="R337" s="6" t="n">
        <x:v>46201</x:v>
      </x:c>
    </x:row>
    <x:row r="338">
      <x:c r="A338" t="str">
        <x:v>L-0337</x:v>
      </x:c>
      <x:c r="B338" t="str">
        <x:v>AVA</x:v>
      </x:c>
      <x:c r="C338" t="str">
        <x:v>Moore</x:v>
      </x:c>
      <x:c r="D338" t="str">
        <x:v>Blue Ridge Supply</x:v>
      </x:c>
      <x:c r="E338" t="str">
        <x:v>ava.moore793@examplebiz.com</x:v>
      </x:c>
      <x:c r="F338" t="str">
        <x:v>(816) 586-4541</x:v>
      </x:c>
      <x:c r="G338" t="str">
        <x:v>OH</x:v>
      </x:c>
      <x:c r="H338" t="str">
        <x:v>Cold Outreach</x:v>
      </x:c>
      <x:c r="I338" t="str">
        <x:v>new</x:v>
      </x:c>
      <x:c r="J338" t="str">
        <x:v>Alex Kim</x:v>
      </x:c>
      <x:c r="K338" s="6" t="n">
        <x:v>46191</x:v>
      </x:c>
      <x:c r="L338" s="6" t="n">
        <x:v>46238</x:v>
      </x:c>
      <x:c r="M338" s="6" t="n">
        <x:v>46247</x:v>
      </x:c>
      <x:c r="N338" s="8" t="n">
        <x:v>37200</x:v>
      </x:c>
      <x:c r="O338" t="str">
        <x:v>Logistics</x:v>
      </x:c>
      <x:c r="P338" t="str">
        <x:v>No</x:v>
      </x:c>
      <x:c r="Q338" t="str">
        <x:v>No</x:v>
      </x:c>
      <x:c r="R338" s="6"/>
    </x:row>
    <x:row r="339">
      <x:c r="A339" t="str">
        <x:v>L-0338</x:v>
      </x:c>
      <x:c r="B339" t="str">
        <x:v>Logan</x:v>
      </x:c>
      <x:c r="C339" t="str">
        <x:v>lee</x:v>
      </x:c>
      <x:c r="D339" t="str">
        <x:v>VERTEX SOLUTIONS</x:v>
      </x:c>
      <x:c r="E339" t="str">
        <x:v>logan.lee447@mailhub.net</x:v>
      </x:c>
      <x:c r="F339" t="str">
        <x:v>(492) 875-8167</x:v>
      </x:c>
      <x:c r="G339" t="str">
        <x:v>TX</x:v>
      </x:c>
      <x:c r="H339" t="str">
        <x:v>Outbound</x:v>
      </x:c>
      <x:c r="I339" t="str">
        <x:v>Qual</x:v>
      </x:c>
      <x:c r="J339" t="str">
        <x:v>Alex Kim</x:v>
      </x:c>
      <x:c r="K339" s="6" t="n">
        <x:v>46151</x:v>
      </x:c>
      <x:c r="L339" s="6" t="n">
        <x:v>46173</x:v>
      </x:c>
      <x:c r="M339" s="6" t="n">
        <x:v>46193</x:v>
      </x:c>
      <x:c r="N339" s="8" t="n">
        <x:v>51600</x:v>
      </x:c>
      <x:c r="O339" t="str">
        <x:v>Biotech</x:v>
      </x:c>
      <x:c r="P339" t="str">
        <x:v>Yes</x:v>
      </x:c>
      <x:c r="Q339" t="str">
        <x:v>No</x:v>
      </x:c>
      <x:c r="R339" s="6"/>
    </x:row>
    <x:row r="340">
      <x:c r="A340" t="str">
        <x:v>L-0339</x:v>
      </x:c>
      <x:c r="B340" t="str">
        <x:v>Liam</x:v>
      </x:c>
      <x:c r="C340" t="str">
        <x:v>Martinez</x:v>
      </x:c>
      <x:c r="D340" t="str"/>
      <x:c r="E340" t="str">
        <x:v>liam.martinez991@mailhub.net</x:v>
      </x:c>
      <x:c r="F340" t="str">
        <x:v>(623) 860-7484</x:v>
      </x:c>
      <x:c r="G340" t="str">
        <x:v>FL</x:v>
      </x:c>
      <x:c r="H340" t="str">
        <x:v>Email</x:v>
      </x:c>
      <x:c r="I340" t="str">
        <x:v>Qualified</x:v>
      </x:c>
      <x:c r="J340" t="str">
        <x:v>CASEY PATEL</x:v>
      </x:c>
      <x:c r="K340" s="6" t="n">
        <x:v>46217</x:v>
      </x:c>
      <x:c r="L340" s="6" t="n">
        <x:v>46229</x:v>
      </x:c>
      <x:c r="M340" s="6" t="n">
        <x:v>46247</x:v>
      </x:c>
      <x:c r="N340" s="8" t="n">
        <x:v>80900</x:v>
      </x:c>
      <x:c r="O340" t="str">
        <x:v>Retail</x:v>
      </x:c>
      <x:c r="P340" t="str">
        <x:v>Yes</x:v>
      </x:c>
      <x:c r="Q340" t="str">
        <x:v>No</x:v>
      </x:c>
      <x:c r="R340" s="6"/>
    </x:row>
    <x:row r="341">
      <x:c r="A341" t="str">
        <x:v>L-0340</x:v>
      </x:c>
      <x:c r="B341" t="str">
        <x:v>emma</x:v>
      </x:c>
      <x:c r="C341" t="str">
        <x:v>Anderson</x:v>
      </x:c>
      <x:c r="D341" t="str">
        <x:v>Redstone Consulting</x:v>
      </x:c>
      <x:c r="E341" t="str">
        <x:v>emma.anderson403@northmail.com</x:v>
      </x:c>
      <x:c r="F341" t="str">
        <x:v>(792) 639-3111</x:v>
      </x:c>
      <x:c r="G341" t="str">
        <x:v>CA</x:v>
      </x:c>
      <x:c r="H341" t="str">
        <x:v>OUTBOUND</x:v>
      </x:c>
      <x:c r="I341" t="str">
        <x:v>closed lost</x:v>
      </x:c>
      <x:c r="J341" t="str">
        <x:v>Jamie Brooks</x:v>
      </x:c>
      <x:c r="K341" s="6" t="n">
        <x:v>46185</x:v>
      </x:c>
      <x:c r="L341" s="6" t="n">
        <x:v>46235</x:v>
      </x:c>
      <x:c r="M341" s="6"/>
      <x:c r="N341" s="8" t="n">
        <x:v>18400</x:v>
      </x:c>
      <x:c r="O341" t="str">
        <x:v>Biotech</x:v>
      </x:c>
      <x:c r="P341" t="str">
        <x:v>Yes</x:v>
      </x:c>
      <x:c r="Q341" t="str">
        <x:v>No</x:v>
      </x:c>
      <x:c r="R341" s="6" t="n">
        <x:v>46238</x:v>
      </x:c>
    </x:row>
    <x:row r="342">
      <x:c r="A342" t="str">
        <x:v>L-0341</x:v>
      </x:c>
      <x:c r="B342" t="str">
        <x:v>Olivia</x:v>
      </x:c>
      <x:c r="C342" t="str">
        <x:v>Williams</x:v>
      </x:c>
      <x:c r="D342" t="str">
        <x:v>BrightPath Health</x:v>
      </x:c>
      <x:c r="E342" t="str">
        <x:v>olivia.williams943@northmail.com</x:v>
      </x:c>
      <x:c r="F342" t="str">
        <x:v>(786) 591-1414</x:v>
      </x:c>
      <x:c r="G342" t="str">
        <x:v>AZ</x:v>
      </x:c>
      <x:c r="H342" t="str">
        <x:v>WEB</x:v>
      </x:c>
      <x:c r="I342" t="str">
        <x:v>Closed Won</x:v>
      </x:c>
      <x:c r="J342" t="str">
        <x:v>Alex Kim</x:v>
      </x:c>
      <x:c r="K342" s="6" t="n">
        <x:v>46207</x:v>
      </x:c>
      <x:c r="L342" s="6" t="n">
        <x:v>46208</x:v>
      </x:c>
      <x:c r="M342" s="6"/>
      <x:c r="N342" s="8" t="n">
        <x:v>53500</x:v>
      </x:c>
      <x:c r="O342" t="str">
        <x:v>Healthcare</x:v>
      </x:c>
      <x:c r="P342" t="str">
        <x:v>Yes</x:v>
      </x:c>
      <x:c r="Q342" t="str">
        <x:v>Yes</x:v>
      </x:c>
      <x:c r="R342" s="6" t="n">
        <x:v>46211</x:v>
      </x:c>
    </x:row>
    <x:row r="343">
      <x:c r="A343" t="str">
        <x:v>L-0342</x:v>
      </x:c>
      <x:c r="B343" t="str">
        <x:v>Emma</x:v>
      </x:c>
      <x:c r="C343" t="str">
        <x:v>Smith</x:v>
      </x:c>
      <x:c r="D343" t="str">
        <x:v>Summit Analytics</x:v>
      </x:c>
      <x:c r="E343" t="str">
        <x:v>emma.smith80@mailhub.net</x:v>
      </x:c>
      <x:c r="F343" t="str">
        <x:v>(571) 412-7402</x:v>
      </x:c>
      <x:c r="G343" t="str">
        <x:v>NC</x:v>
      </x:c>
      <x:c r="H343" t="str">
        <x:v>OUTBOUND</x:v>
      </x:c>
      <x:c r="I343" t="str">
        <x:v>New</x:v>
      </x:c>
      <x:c r="J343" t="str">
        <x:v>Jordan Lee</x:v>
      </x:c>
      <x:c r="K343" s="6" t="n">
        <x:v>46210</x:v>
      </x:c>
      <x:c r="L343" s="6" t="n">
        <x:v>46228</x:v>
      </x:c>
      <x:c r="M343" s="6" t="n">
        <x:v>46239</x:v>
      </x:c>
      <x:c r="N343" s="8" t="n">
        <x:v>76300</x:v>
      </x:c>
      <x:c r="O343" t="str">
        <x:v>Technology</x:v>
      </x:c>
      <x:c r="P343" t="str">
        <x:v>No</x:v>
      </x:c>
      <x:c r="Q343" t="str">
        <x:v>No</x:v>
      </x:c>
      <x:c r="R343" s="6"/>
    </x:row>
    <x:row r="344">
      <x:c r="A344" t="str">
        <x:v>L-0343</x:v>
      </x:c>
      <x:c r="B344" t="str">
        <x:v>LUNA</x:v>
      </x:c>
      <x:c r="C344" t="str">
        <x:v>thompson</x:v>
      </x:c>
      <x:c r="D344" t="str">
        <x:v>peakline systems</x:v>
      </x:c>
      <x:c r="E344" t="str">
        <x:v>luna.thompson760@prospect.co</x:v>
      </x:c>
      <x:c r="F344" t="str">
        <x:v>(325) 397-1484</x:v>
      </x:c>
      <x:c r="G344" t="str">
        <x:v>IL</x:v>
      </x:c>
      <x:c r="H344" t="str">
        <x:v>OUTBOUND</x:v>
      </x:c>
      <x:c r="I344" t="str">
        <x:v>Qual</x:v>
      </x:c>
      <x:c r="J344" t="str">
        <x:v> Alex Kim </x:v>
      </x:c>
      <x:c r="K344" s="6" t="n">
        <x:v>46089</x:v>
      </x:c>
      <x:c r="L344" s="6" t="n">
        <x:v>46242</x:v>
      </x:c>
      <x:c r="M344" s="6" t="n">
        <x:v>46262</x:v>
      </x:c>
      <x:c r="N344" s="8" t="n">
        <x:v>2900</x:v>
      </x:c>
      <x:c r="O344" t="str">
        <x:v>Technology</x:v>
      </x:c>
      <x:c r="P344" t="str">
        <x:v>Yes</x:v>
      </x:c>
      <x:c r="Q344" t="str">
        <x:v>No</x:v>
      </x:c>
      <x:c r="R344" s="6"/>
    </x:row>
    <x:row r="345">
      <x:c r="A345" t="str">
        <x:v>L-0344</x:v>
      </x:c>
      <x:c r="B345" t="str">
        <x:v>Mia</x:v>
      </x:c>
      <x:c r="C345" t="str">
        <x:v>Anderson</x:v>
      </x:c>
      <x:c r="D345" t="str">
        <x:v>evergreen services</x:v>
      </x:c>
      <x:c r="E345" t="str">
        <x:v>mia.anderson867@prospect.co</x:v>
      </x:c>
      <x:c r="F345" t="str">
        <x:v>(603) 305-6105</x:v>
      </x:c>
      <x:c r="G345" t="str">
        <x:v>PA</x:v>
      </x:c>
      <x:c r="H345" t="str">
        <x:v>EMAIL</x:v>
      </x:c>
      <x:c r="I345" t="str">
        <x:v>QUALIFIED</x:v>
      </x:c>
      <x:c r="J345" t="str">
        <x:v>Jamie Brooks</x:v>
      </x:c>
      <x:c r="K345" s="6" t="n">
        <x:v>46144</x:v>
      </x:c>
      <x:c r="L345" s="6" t="n">
        <x:v>46168</x:v>
      </x:c>
      <x:c r="M345" s="6" t="n">
        <x:v>46179</x:v>
      </x:c>
      <x:c r="N345" s="8" t="n">
        <x:v>16800</x:v>
      </x:c>
      <x:c r="O345" t="str">
        <x:v>Logistics</x:v>
      </x:c>
      <x:c r="P345" t="str">
        <x:v>Yes</x:v>
      </x:c>
      <x:c r="Q345" t="str">
        <x:v>No</x:v>
      </x:c>
      <x:c r="R345" s="6"/>
    </x:row>
    <x:row r="346">
      <x:c r="A346" t="str">
        <x:v>L-0345</x:v>
      </x:c>
      <x:c r="B346" t="str">
        <x:v>Mia</x:v>
      </x:c>
      <x:c r="C346" t="str">
        <x:v> Moore </x:v>
      </x:c>
      <x:c r="D346" t="str">
        <x:v>CedarWorks</x:v>
      </x:c>
      <x:c r="E346" t="str">
        <x:v>logan.garcia247@northmail.com</x:v>
      </x:c>
      <x:c r="F346" t="str">
        <x:v>(640) 390-6861</x:v>
      </x:c>
      <x:c r="G346" t="str">
        <x:v>GA</x:v>
      </x:c>
      <x:c r="H346" t="str">
        <x:v>Referral</x:v>
      </x:c>
      <x:c r="I346" t="str">
        <x:v>Contact</x:v>
      </x:c>
      <x:c r="J346" t="str">
        <x:v>Jordan Lee</x:v>
      </x:c>
      <x:c r="K346" s="6" t="n">
        <x:v>46092</x:v>
      </x:c>
      <x:c r="L346" s="6" t="n">
        <x:v>46227</x:v>
      </x:c>
      <x:c r="M346" s="6" t="n">
        <x:v>46241</x:v>
      </x:c>
      <x:c r="N346" s="8" t="n">
        <x:v>35400</x:v>
      </x:c>
      <x:c r="O346" t="str">
        <x:v>Healthcare</x:v>
      </x:c>
      <x:c r="P346" t="str">
        <x:v>No</x:v>
      </x:c>
      <x:c r="Q346" t="str">
        <x:v>No</x:v>
      </x:c>
      <x:c r="R346" s="6"/>
    </x:row>
    <x:row r="347">
      <x:c r="A347" t="str">
        <x:v>L-0346</x:v>
      </x:c>
      <x:c r="B347" t="str">
        <x:v> Olivia </x:v>
      </x:c>
      <x:c r="C347" t="str">
        <x:v>Martin</x:v>
      </x:c>
      <x:c r="D347" t="str">
        <x:v>Apex Manufacturing</x:v>
      </x:c>
      <x:c r="E347" t="str">
        <x:v>olivia.martin432@mailhub.net</x:v>
      </x:c>
      <x:c r="F347" t="str">
        <x:v>(526) 527-4246</x:v>
      </x:c>
      <x:c r="G347" t="str">
        <x:v>GA</x:v>
      </x:c>
      <x:c r="H347" t="str">
        <x:v>Referral</x:v>
      </x:c>
      <x:c r="I347" t="str">
        <x:v>opportunity</x:v>
      </x:c>
      <x:c r="J347" t="str">
        <x:v>Jamie Brooks</x:v>
      </x:c>
      <x:c r="K347" s="6" t="n">
        <x:v>46040</x:v>
      </x:c>
      <x:c r="L347" s="6" t="n">
        <x:v>46211</x:v>
      </x:c>
      <x:c r="M347" s="6" t="n">
        <x:v>46216</x:v>
      </x:c>
      <x:c r="N347" s="8" t="n">
        <x:v>49900</x:v>
      </x:c>
      <x:c r="O347" t="str">
        <x:v>Technology</x:v>
      </x:c>
      <x:c r="P347" t="str">
        <x:v>Yes</x:v>
      </x:c>
      <x:c r="Q347" t="str">
        <x:v>No</x:v>
      </x:c>
      <x:c r="R347" s="6"/>
    </x:row>
    <x:row r="348">
      <x:c r="A348" t="str">
        <x:v>L-0347</x:v>
      </x:c>
      <x:c r="B348" t="str">
        <x:v>Amelia</x:v>
      </x:c>
      <x:c r="C348" t="str">
        <x:v>Johnson</x:v>
      </x:c>
      <x:c r="D348" t="str">
        <x:v>Peakline Systems</x:v>
      </x:c>
      <x:c r="E348" t="str">
        <x:v> amelia.johnson325@prospect.co </x:v>
      </x:c>
      <x:c r="F348" t="str">
        <x:v>(610) 281-6131</x:v>
      </x:c>
      <x:c r="G348" t="str">
        <x:v>OH</x:v>
      </x:c>
      <x:c r="H348" t="str">
        <x:v>Website</x:v>
      </x:c>
      <x:c r="I348" t="str">
        <x:v>qualified</x:v>
      </x:c>
      <x:c r="J348" t="str"/>
      <x:c r="K348" s="6" t="n">
        <x:v>46034</x:v>
      </x:c>
      <x:c r="L348" s="6" t="n">
        <x:v>46239</x:v>
      </x:c>
      <x:c r="M348" s="6" t="n">
        <x:v>46255</x:v>
      </x:c>
      <x:c r="N348" s="8" t="n">
        <x:v>62200</x:v>
      </x:c>
      <x:c r="O348" t="str">
        <x:v>Biotech</x:v>
      </x:c>
      <x:c r="P348" t="str">
        <x:v>Yes</x:v>
      </x:c>
      <x:c r="Q348" t="str">
        <x:v>No</x:v>
      </x:c>
      <x:c r="R348" s="6"/>
    </x:row>
    <x:row r="349">
      <x:c r="A349" t="str">
        <x:v>L-0348</x:v>
      </x:c>
      <x:c r="B349" t="str">
        <x:v>Noah</x:v>
      </x:c>
      <x:c r="C349" t="str">
        <x:v>Wilson</x:v>
      </x:c>
      <x:c r="D349" t="str"/>
      <x:c r="E349" t="str">
        <x:v>noah.wilson889@northmail.com</x:v>
      </x:c>
      <x:c r="F349" t="str">
        <x:v>(466) 244-2815</x:v>
      </x:c>
      <x:c r="G349" t="str">
        <x:v>CA</x:v>
      </x:c>
      <x:c r="H349" t="str">
        <x:v>WEB</x:v>
      </x:c>
      <x:c r="I349" t="str">
        <x:v>Opportunity</x:v>
      </x:c>
      <x:c r="J349" t="str">
        <x:v>Jamie Brooks</x:v>
      </x:c>
      <x:c r="K349" s="6" t="n">
        <x:v>46039</x:v>
      </x:c>
      <x:c r="L349" s="6" t="n">
        <x:v>46133</x:v>
      </x:c>
      <x:c r="M349" s="6" t="n">
        <x:v>46153</x:v>
      </x:c>
      <x:c r="N349" s="8" t="n">
        <x:v>84100</x:v>
      </x:c>
      <x:c r="O349" t="str">
        <x:v>Retail</x:v>
      </x:c>
      <x:c r="P349" t="str">
        <x:v>Yes</x:v>
      </x:c>
      <x:c r="Q349" t="str">
        <x:v>No</x:v>
      </x:c>
      <x:c r="R349" s="6"/>
    </x:row>
    <x:row r="350">
      <x:c r="A350" t="str">
        <x:v>L-0349</x:v>
      </x:c>
      <x:c r="B350" t="str">
        <x:v>James</x:v>
      </x:c>
      <x:c r="C350" t="str">
        <x:v>MOORE</x:v>
      </x:c>
      <x:c r="D350" t="str">
        <x:v>SUMMIT ANALYTICS</x:v>
      </x:c>
      <x:c r="E350" t="str">
        <x:v>james.moore785@prospect.co</x:v>
      </x:c>
      <x:c r="F350" t="str">
        <x:v>(929) 284-6783</x:v>
      </x:c>
      <x:c r="G350" t="str">
        <x:v>WA</x:v>
      </x:c>
      <x:c r="H350" t="str">
        <x:v>Webinar</x:v>
      </x:c>
      <x:c r="I350" t="str">
        <x:v>Qual</x:v>
      </x:c>
      <x:c r="J350" t="str">
        <x:v>casey patel</x:v>
      </x:c>
      <x:c r="K350" s="6" t="n">
        <x:v>46175</x:v>
      </x:c>
      <x:c r="L350" s="6" t="n">
        <x:v>46216</x:v>
      </x:c>
      <x:c r="M350" s="6" t="n">
        <x:v>46234</x:v>
      </x:c>
      <x:c r="N350" s="8" t="n">
        <x:v>21100</x:v>
      </x:c>
      <x:c r="O350" t="str">
        <x:v>Retail</x:v>
      </x:c>
      <x:c r="P350" t="str">
        <x:v>Yes</x:v>
      </x:c>
      <x:c r="Q350" t="str">
        <x:v>No</x:v>
      </x:c>
      <x:c r="R350" s="6"/>
    </x:row>
    <x:row r="351">
      <x:c r="A351" t="str">
        <x:v>L-0350</x:v>
      </x:c>
      <x:c r="B351" t="str">
        <x:v>Olivia</x:v>
      </x:c>
      <x:c r="C351" t="str">
        <x:v>perez</x:v>
      </x:c>
      <x:c r="D351" t="str">
        <x:v>Redstone Consulting</x:v>
      </x:c>
      <x:c r="E351" t="str">
        <x:v>olivia.perez395@mailhub.net</x:v>
      </x:c>
      <x:c r="F351" t="str">
        <x:v>(836) 725-4326</x:v>
      </x:c>
      <x:c r="G351" t="str">
        <x:v>PA</x:v>
      </x:c>
      <x:c r="H351" t="str">
        <x:v>webinar</x:v>
      </x:c>
      <x:c r="I351" t="str">
        <x:v>New</x:v>
      </x:c>
      <x:c r="J351" t="str">
        <x:v>Casey Patel</x:v>
      </x:c>
      <x:c r="K351" s="6" t="n">
        <x:v>46117</x:v>
      </x:c>
      <x:c r="L351" s="6" t="n">
        <x:v>46144</x:v>
      </x:c>
      <x:c r="M351" s="6" t="n">
        <x:v>46151</x:v>
      </x:c>
      <x:c r="N351" s="8" t="n">
        <x:v>20500</x:v>
      </x:c>
      <x:c r="O351" t="str">
        <x:v>Financial Services</x:v>
      </x:c>
      <x:c r="P351" t="str">
        <x:v>No</x:v>
      </x:c>
      <x:c r="Q351" t="str">
        <x:v>No</x:v>
      </x:c>
      <x:c r="R351" s="6"/>
    </x:row>
    <x:row r="352">
      <x:c r="A352" t="str">
        <x:v>L-0351</x:v>
      </x:c>
      <x:c r="B352" t="str">
        <x:v> Benjamin </x:v>
      </x:c>
      <x:c r="C352" t="str">
        <x:v>Martin</x:v>
      </x:c>
      <x:c r="D352" t="str">
        <x:v>Prairie Health</x:v>
      </x:c>
      <x:c r="E352" t="str">
        <x:v>benjamin.martin442@prospect.co</x:v>
      </x:c>
      <x:c r="F352" t="str">
        <x:v>(255) 651-5466</x:v>
      </x:c>
      <x:c r="G352" t="str">
        <x:v>NY</x:v>
      </x:c>
      <x:c r="H352" t="str">
        <x:v>Website</x:v>
      </x:c>
      <x:c r="I352" t="str">
        <x:v>qualified</x:v>
      </x:c>
      <x:c r="J352" t="str"/>
      <x:c r="K352" s="6" t="n">
        <x:v>46156</x:v>
      </x:c>
      <x:c r="L352" s="6" t="n">
        <x:v>46211</x:v>
      </x:c>
      <x:c r="M352" s="6" t="n">
        <x:v>46220</x:v>
      </x:c>
      <x:c r="N352" s="8" t="n">
        <x:v>14900</x:v>
      </x:c>
      <x:c r="O352" t="str">
        <x:v>Biotech</x:v>
      </x:c>
      <x:c r="P352" t="str">
        <x:v>Yes</x:v>
      </x:c>
      <x:c r="Q352" t="str">
        <x:v>No</x:v>
      </x:c>
      <x:c r="R352" s="6"/>
    </x:row>
    <x:row r="353">
      <x:c r="A353" t="str">
        <x:v>L-0352</x:v>
      </x:c>
      <x:c r="B353" t="str">
        <x:v>Noah</x:v>
      </x:c>
      <x:c r="C353" t="str">
        <x:v>Davis</x:v>
      </x:c>
      <x:c r="D353" t="str">
        <x:v>Summit Analytics</x:v>
      </x:c>
      <x:c r="E353" t="str">
        <x:v> noah.davis717@mailhub.net </x:v>
      </x:c>
      <x:c r="F353" t="str">
        <x:v>(602) 602-2659</x:v>
      </x:c>
      <x:c r="G353" t="str">
        <x:v>CO</x:v>
      </x:c>
      <x:c r="H353" t="str">
        <x:v>TRADE SHOW</x:v>
      </x:c>
      <x:c r="I353" t="str">
        <x:v>CONTACTED</x:v>
      </x:c>
      <x:c r="J353" t="str">
        <x:v>Alex Kim</x:v>
      </x:c>
      <x:c r="K353" s="6" t="n">
        <x:v>46110</x:v>
      </x:c>
      <x:c r="L353" s="6" t="n">
        <x:v>46135</x:v>
      </x:c>
      <x:c r="M353" s="6" t="n">
        <x:v>46146</x:v>
      </x:c>
      <x:c r="N353" s="8" t="n">
        <x:v>21200</x:v>
      </x:c>
      <x:c r="O353" t="str">
        <x:v>Healthcare</x:v>
      </x:c>
      <x:c r="P353" t="str">
        <x:v>No</x:v>
      </x:c>
      <x:c r="Q353" t="str">
        <x:v>No</x:v>
      </x:c>
      <x:c r="R353" s="6"/>
    </x:row>
    <x:row r="354">
      <x:c r="A354" t="str">
        <x:v>L-0353</x:v>
      </x:c>
      <x:c r="B354" t="str">
        <x:v>mason</x:v>
      </x:c>
      <x:c r="C354" t="str">
        <x:v>Garcia</x:v>
      </x:c>
      <x:c r="D354" t="str">
        <x:v>Redstone Consulting</x:v>
      </x:c>
      <x:c r="E354" t="str">
        <x:v>elijah.lee544@mailhub.net</x:v>
      </x:c>
      <x:c r="F354" t="str">
        <x:v>(382) 470-2261</x:v>
      </x:c>
      <x:c r="G354" t="str">
        <x:v>CA</x:v>
      </x:c>
      <x:c r="H354" t="str">
        <x:v>website</x:v>
      </x:c>
      <x:c r="I354" t="str">
        <x:v>closed lost</x:v>
      </x:c>
      <x:c r="J354" t="str">
        <x:v>Morgan Reed</x:v>
      </x:c>
      <x:c r="K354" s="6" t="n">
        <x:v>46210</x:v>
      </x:c>
      <x:c r="L354" s="6" t="n">
        <x:v>46210</x:v>
      </x:c>
      <x:c r="M354" s="6"/>
      <x:c r="N354" s="8" t="n">
        <x:v>57400</x:v>
      </x:c>
      <x:c r="O354" t="str">
        <x:v>Technology</x:v>
      </x:c>
      <x:c r="P354" t="str">
        <x:v>Yes</x:v>
      </x:c>
      <x:c r="Q354" t="str">
        <x:v>No</x:v>
      </x:c>
      <x:c r="R354" s="6" t="n">
        <x:v>46217</x:v>
      </x:c>
    </x:row>
    <x:row r="355">
      <x:c r="A355" t="str">
        <x:v>L-0354</x:v>
      </x:c>
      <x:c r="B355" t="str">
        <x:v>Noah</x:v>
      </x:c>
      <x:c r="C355" t="str">
        <x:v>MARTINEZ</x:v>
      </x:c>
      <x:c r="D355" t="str">
        <x:v>Redstone Consulting</x:v>
      </x:c>
      <x:c r="E355" t="str">
        <x:v>noah.martinez14@prospect.co</x:v>
      </x:c>
      <x:c r="F355" t="str">
        <x:v>(509) 927-6467</x:v>
      </x:c>
      <x:c r="G355" t="str">
        <x:v>NC</x:v>
      </x:c>
      <x:c r="H355" t="str">
        <x:v>linkedin</x:v>
      </x:c>
      <x:c r="I355" t="str">
        <x:v>LOST</x:v>
      </x:c>
      <x:c r="J355" t="str">
        <x:v>Morgan Reed</x:v>
      </x:c>
      <x:c r="K355" s="6" t="n">
        <x:v>46181</x:v>
      </x:c>
      <x:c r="L355" s="6" t="n">
        <x:v>46243</x:v>
      </x:c>
      <x:c r="M355" s="6"/>
      <x:c r="N355" s="8" t="n">
        <x:v>23400</x:v>
      </x:c>
      <x:c r="O355" t="str">
        <x:v>Logistics</x:v>
      </x:c>
      <x:c r="P355" t="str">
        <x:v>Yes</x:v>
      </x:c>
      <x:c r="Q355" t="str">
        <x:v>No</x:v>
      </x:c>
      <x:c r="R355" s="6" t="n">
        <x:v>46251</x:v>
      </x:c>
    </x:row>
    <x:row r="356">
      <x:c r="A356" t="str">
        <x:v>L-0355</x:v>
      </x:c>
      <x:c r="B356" t="str">
        <x:v> Mason </x:v>
      </x:c>
      <x:c r="C356" t="str">
        <x:v>Perez</x:v>
      </x:c>
      <x:c r="D356" t="str">
        <x:v>Vertex Solutions</x:v>
      </x:c>
      <x:c r="E356" t="str">
        <x:v>mason.perez696@mailhub.net</x:v>
      </x:c>
      <x:c r="F356" t="str">
        <x:v>(740) 379-5346</x:v>
      </x:c>
      <x:c r="G356" t="str">
        <x:v>FL</x:v>
      </x:c>
      <x:c r="H356" t="str">
        <x:v>Linked In</x:v>
      </x:c>
      <x:c r="I356" t="str">
        <x:v>NEW</x:v>
      </x:c>
      <x:c r="J356" t="str">
        <x:v>Jamie Brooks</x:v>
      </x:c>
      <x:c r="K356" s="6" t="n">
        <x:v>46150</x:v>
      </x:c>
      <x:c r="L356" s="6" t="n">
        <x:v>46231</x:v>
      </x:c>
      <x:c r="M356" s="6" t="n">
        <x:v>46237</x:v>
      </x:c>
      <x:c r="N356" s="8" t="n">
        <x:v>82100</x:v>
      </x:c>
      <x:c r="O356" t="str">
        <x:v>Biotech</x:v>
      </x:c>
      <x:c r="P356" t="str">
        <x:v>No</x:v>
      </x:c>
      <x:c r="Q356" t="str">
        <x:v>No</x:v>
      </x:c>
      <x:c r="R356" s="6"/>
    </x:row>
    <x:row r="357">
      <x:c r="A357" t="str">
        <x:v>L-0356</x:v>
      </x:c>
      <x:c r="B357" t="str">
        <x:v>Logan</x:v>
      </x:c>
      <x:c r="C357" t="str">
        <x:v>MARTINEZ</x:v>
      </x:c>
      <x:c r="D357" t="str"/>
      <x:c r="E357" t="str">
        <x:v>logan.martinez572@examplebiz.com</x:v>
      </x:c>
      <x:c r="F357" t="str">
        <x:v>(511) 698-5722</x:v>
      </x:c>
      <x:c r="G357" t="str">
        <x:v>NC</x:v>
      </x:c>
      <x:c r="H357" t="str">
        <x:v>Outbound</x:v>
      </x:c>
      <x:c r="I357" t="str">
        <x:v>new</x:v>
      </x:c>
      <x:c r="J357" t="str">
        <x:v>alex kim</x:v>
      </x:c>
      <x:c r="K357" s="6" t="n">
        <x:v>46072</x:v>
      </x:c>
      <x:c r="L357" s="6" t="n">
        <x:v>46110</x:v>
      </x:c>
      <x:c r="M357" s="6" t="n">
        <x:v>46129</x:v>
      </x:c>
      <x:c r="N357" s="8" t="n">
        <x:v>82300</x:v>
      </x:c>
      <x:c r="O357" t="str">
        <x:v>Healthcare</x:v>
      </x:c>
      <x:c r="P357" t="str">
        <x:v>No</x:v>
      </x:c>
      <x:c r="Q357" t="str">
        <x:v>No</x:v>
      </x:c>
      <x:c r="R357" s="6"/>
    </x:row>
    <x:row r="358">
      <x:c r="A358" t="str">
        <x:v>L-0357</x:v>
      </x:c>
      <x:c r="B358" t="str">
        <x:v>Lucas</x:v>
      </x:c>
      <x:c r="C358" t="str">
        <x:v> Martin </x:v>
      </x:c>
      <x:c r="D358" t="str">
        <x:v>Blue Ridge Supply</x:v>
      </x:c>
      <x:c r="E358" t="str">
        <x:v>lucas.martin298@examplebiz.com</x:v>
      </x:c>
      <x:c r="F358" t="str">
        <x:v>(233) 684-6810</x:v>
      </x:c>
      <x:c r="G358" t="str">
        <x:v>PA</x:v>
      </x:c>
      <x:c r="H358" t="str">
        <x:v>referral</x:v>
      </x:c>
      <x:c r="I358" t="str">
        <x:v>closed lost</x:v>
      </x:c>
      <x:c r="J358" t="str">
        <x:v>Jordan Lee</x:v>
      </x:c>
      <x:c r="K358" s="6" t="n">
        <x:v>46196</x:v>
      </x:c>
      <x:c r="L358" s="6" t="n">
        <x:v>46223</x:v>
      </x:c>
      <x:c r="M358" s="6"/>
      <x:c r="N358" s="8" t="n">
        <x:v>50800</x:v>
      </x:c>
      <x:c r="O358" t="str">
        <x:v>Technology</x:v>
      </x:c>
      <x:c r="P358" t="str">
        <x:v>Yes</x:v>
      </x:c>
      <x:c r="Q358" t="str">
        <x:v>No</x:v>
      </x:c>
      <x:c r="R358" s="6" t="n">
        <x:v>46227</x:v>
      </x:c>
    </x:row>
    <x:row r="359">
      <x:c r="A359" t="str">
        <x:v>L-0358</x:v>
      </x:c>
      <x:c r="B359" t="str">
        <x:v>James</x:v>
      </x:c>
      <x:c r="C359" t="str">
        <x:v>Lee</x:v>
      </x:c>
      <x:c r="D359" t="str">
        <x:v>APEX MANUFACTURING</x:v>
      </x:c>
      <x:c r="E359" t="str">
        <x:v>james.lee99@examplebiz.com</x:v>
      </x:c>
      <x:c r="F359" t="str">
        <x:v>(740) 652-6132</x:v>
      </x:c>
      <x:c r="G359" t="str">
        <x:v>NY</x:v>
      </x:c>
      <x:c r="H359" t="str">
        <x:v>website</x:v>
      </x:c>
      <x:c r="I359" t="str">
        <x:v>QUALIFIED</x:v>
      </x:c>
      <x:c r="J359" t="str">
        <x:v>Morgan Reed</x:v>
      </x:c>
      <x:c r="K359" s="6" t="n">
        <x:v>46086</x:v>
      </x:c>
      <x:c r="L359" s="6" t="n">
        <x:v>46204</x:v>
      </x:c>
      <x:c r="M359" s="6" t="n">
        <x:v>46224</x:v>
      </x:c>
      <x:c r="N359" s="8" t="n">
        <x:v>17600</x:v>
      </x:c>
      <x:c r="O359" t="str">
        <x:v>Financial Services</x:v>
      </x:c>
      <x:c r="P359" t="str">
        <x:v>Yes</x:v>
      </x:c>
      <x:c r="Q359" t="str">
        <x:v>No</x:v>
      </x:c>
      <x:c r="R359" s="6"/>
    </x:row>
    <x:row r="360">
      <x:c r="A360" t="str">
        <x:v>L-0359</x:v>
      </x:c>
      <x:c r="B360" t="str">
        <x:v>Luna</x:v>
      </x:c>
      <x:c r="C360" t="str">
        <x:v>Martin</x:v>
      </x:c>
      <x:c r="D360" t="str">
        <x:v>Pioneer Tech</x:v>
      </x:c>
      <x:c r="E360" t="str">
        <x:v>luna.martin7@mailhub.net</x:v>
      </x:c>
      <x:c r="F360" t="str">
        <x:v>(982) 730-8540</x:v>
      </x:c>
      <x:c r="G360" t="str">
        <x:v>WA</x:v>
      </x:c>
      <x:c r="H360" t="str">
        <x:v>Trade Show</x:v>
      </x:c>
      <x:c r="I360" t="str">
        <x:v>qualified</x:v>
      </x:c>
      <x:c r="J360" t="str">
        <x:v>Jamie Brooks</x:v>
      </x:c>
      <x:c r="K360" s="6" t="n">
        <x:v>46171</x:v>
      </x:c>
      <x:c r="L360" s="6" t="n">
        <x:v>46177</x:v>
      </x:c>
      <x:c r="M360" s="6" t="n">
        <x:v>46192</x:v>
      </x:c>
      <x:c r="N360" s="8" t="n">
        <x:v>12900</x:v>
      </x:c>
      <x:c r="O360" t="str">
        <x:v>Manufacturing</x:v>
      </x:c>
      <x:c r="P360" t="str">
        <x:v>Yes</x:v>
      </x:c>
      <x:c r="Q360" t="str">
        <x:v>No</x:v>
      </x:c>
      <x:c r="R360" s="6"/>
    </x:row>
    <x:row r="361">
      <x:c r="A361" t="str">
        <x:v>L-0360</x:v>
      </x:c>
      <x:c r="B361" t="str">
        <x:v>Elijah</x:v>
      </x:c>
      <x:c r="C361" t="str">
        <x:v>JACKSON</x:v>
      </x:c>
      <x:c r="D361" t="str">
        <x:v>blue ridge supply</x:v>
      </x:c>
      <x:c r="E361" t="str">
        <x:v>ethan.perez939@northmail.com</x:v>
      </x:c>
      <x:c r="F361" t="str">
        <x:v>(318) 268-1000</x:v>
      </x:c>
      <x:c r="G361" t="str">
        <x:v>OH</x:v>
      </x:c>
      <x:c r="H361" t="str">
        <x:v>linkedin</x:v>
      </x:c>
      <x:c r="I361" t="str">
        <x:v>NEW</x:v>
      </x:c>
      <x:c r="J361" t="str">
        <x:v>Alex Kim</x:v>
      </x:c>
      <x:c r="K361" s="6" t="n">
        <x:v>46086</x:v>
      </x:c>
      <x:c r="L361" s="6" t="n">
        <x:v>46165</x:v>
      </x:c>
      <x:c r="M361" s="6" t="n">
        <x:v>46168</x:v>
      </x:c>
      <x:c r="N361" s="8" t="n">
        <x:v>69000</x:v>
      </x:c>
      <x:c r="O361" t="str">
        <x:v>Retail</x:v>
      </x:c>
      <x:c r="P361" t="str">
        <x:v>No</x:v>
      </x:c>
      <x:c r="Q361" t="str">
        <x:v>No</x:v>
      </x:c>
      <x:c r="R361" s="6"/>
    </x:row>
    <x:row r="362">
      <x:c r="A362" t="str">
        <x:v>L-0361</x:v>
      </x:c>
      <x:c r="B362" t="str">
        <x:v>Henry</x:v>
      </x:c>
      <x:c r="C362" t="str">
        <x:v>Moore</x:v>
      </x:c>
      <x:c r="D362" t="str">
        <x:v>Summit Analytics</x:v>
      </x:c>
      <x:c r="E362" t="str">
        <x:v>henry.moore760@examplebiz.com</x:v>
      </x:c>
      <x:c r="F362" t="str">
        <x:v>(688) 691-5751</x:v>
      </x:c>
      <x:c r="G362" t="str">
        <x:v>CA</x:v>
      </x:c>
      <x:c r="H362" t="str">
        <x:v>LinkedIn</x:v>
      </x:c>
      <x:c r="I362" t="str">
        <x:v>NEW</x:v>
      </x:c>
      <x:c r="J362" t="str">
        <x:v>Alex Kim</x:v>
      </x:c>
      <x:c r="K362" s="6" t="n">
        <x:v>46037</x:v>
      </x:c>
      <x:c r="L362" s="6" t="n">
        <x:v>46227</x:v>
      </x:c>
      <x:c r="M362" s="6" t="n">
        <x:v>46251</x:v>
      </x:c>
      <x:c r="N362" s="8" t="n">
        <x:v>22400</x:v>
      </x:c>
      <x:c r="O362" t="str">
        <x:v>Professional Services</x:v>
      </x:c>
      <x:c r="P362" t="str">
        <x:v>No</x:v>
      </x:c>
      <x:c r="Q362" t="str">
        <x:v>No</x:v>
      </x:c>
      <x:c r="R362" s="6"/>
    </x:row>
    <x:row r="363">
      <x:c r="A363" t="str">
        <x:v>L-0362</x:v>
      </x:c>
      <x:c r="B363" t="str">
        <x:v>Luna</x:v>
      </x:c>
      <x:c r="C363" t="str">
        <x:v>Martinez</x:v>
      </x:c>
      <x:c r="D363" t="str">
        <x:v>Peakline Systems</x:v>
      </x:c>
      <x:c r="E363" t="str">
        <x:v>luna.martinez367@examplebiz.com</x:v>
      </x:c>
      <x:c r="F363" t="str">
        <x:v>(558) 923-9602</x:v>
      </x:c>
      <x:c r="G363" t="str">
        <x:v>CO</x:v>
      </x:c>
      <x:c r="H363" t="str">
        <x:v>Cold Outreach</x:v>
      </x:c>
      <x:c r="I363" t="str">
        <x:v>Contacted</x:v>
      </x:c>
      <x:c r="J363" t="str">
        <x:v>Taylor Morgan</x:v>
      </x:c>
      <x:c r="K363" s="6" t="n">
        <x:v>46211</x:v>
      </x:c>
      <x:c r="L363" s="6" t="n">
        <x:v>46240</x:v>
      </x:c>
      <x:c r="M363" s="6" t="n">
        <x:v>46257</x:v>
      </x:c>
      <x:c r="N363" s="8" t="n">
        <x:v>25300</x:v>
      </x:c>
      <x:c r="O363" t="str">
        <x:v>Logistics</x:v>
      </x:c>
      <x:c r="P363" t="str">
        <x:v>No</x:v>
      </x:c>
      <x:c r="Q363" t="str">
        <x:v>No</x:v>
      </x:c>
      <x:c r="R363" s="6"/>
    </x:row>
    <x:row r="364">
      <x:c r="A364" t="str">
        <x:v>L-0363</x:v>
      </x:c>
      <x:c r="B364" t="str">
        <x:v>Benjamin</x:v>
      </x:c>
      <x:c r="C364" t="str">
        <x:v>Thomas</x:v>
      </x:c>
      <x:c r="D364" t="str"/>
      <x:c r="E364" t="str">
        <x:v>benjamin.thomas603@prospect.co</x:v>
      </x:c>
      <x:c r="F364" t="str">
        <x:v>(799) 832-7615</x:v>
      </x:c>
      <x:c r="G364" t="str">
        <x:v>WA</x:v>
      </x:c>
      <x:c r="H364" t="str">
        <x:v>linkedin</x:v>
      </x:c>
      <x:c r="I364" t="str">
        <x:v>Qualified</x:v>
      </x:c>
      <x:c r="J364" t="str"/>
      <x:c r="K364" s="6" t="n">
        <x:v>46078</x:v>
      </x:c>
      <x:c r="L364" s="6" t="n">
        <x:v>46212</x:v>
      </x:c>
      <x:c r="M364" s="6" t="n">
        <x:v>46223</x:v>
      </x:c>
      <x:c r="N364" s="8" t="n">
        <x:v>13200</x:v>
      </x:c>
      <x:c r="O364" t="str">
        <x:v>Manufacturing</x:v>
      </x:c>
      <x:c r="P364" t="str">
        <x:v>Yes</x:v>
      </x:c>
      <x:c r="Q364" t="str">
        <x:v>No</x:v>
      </x:c>
      <x:c r="R364" s="6"/>
    </x:row>
    <x:row r="365">
      <x:c r="A365" t="str">
        <x:v>L-0364</x:v>
      </x:c>
      <x:c r="B365" t="str">
        <x:v>Ethan</x:v>
      </x:c>
      <x:c r="C365" t="str">
        <x:v>Thomas</x:v>
      </x:c>
      <x:c r="D365" t="str">
        <x:v> Vertex Solutions </x:v>
      </x:c>
      <x:c r="E365" t="str">
        <x:v>ethan.thomas647@northmail.com</x:v>
      </x:c>
      <x:c r="F365" t="str">
        <x:v>(379) 528-2763</x:v>
      </x:c>
      <x:c r="G365" t="str">
        <x:v>CO</x:v>
      </x:c>
      <x:c r="H365" t="str">
        <x:v>Tradeshow</x:v>
      </x:c>
      <x:c r="I365" t="str">
        <x:v>New</x:v>
      </x:c>
      <x:c r="J365" t="str">
        <x:v>Alex Kim</x:v>
      </x:c>
      <x:c r="K365" s="6" t="n">
        <x:v>46055</x:v>
      </x:c>
      <x:c r="L365" s="6" t="n">
        <x:v>46073</x:v>
      </x:c>
      <x:c r="M365" s="6" t="n">
        <x:v>46090</x:v>
      </x:c>
      <x:c r="N365" s="8" t="n">
        <x:v>65500</x:v>
      </x:c>
      <x:c r="O365" t="str">
        <x:v>Technology</x:v>
      </x:c>
      <x:c r="P365" t="str">
        <x:v>No</x:v>
      </x:c>
      <x:c r="Q365" t="str">
        <x:v>No</x:v>
      </x:c>
      <x:c r="R365" s="6"/>
    </x:row>
    <x:row r="366">
      <x:c r="A366" t="str">
        <x:v>L-0365</x:v>
      </x:c>
      <x:c r="B366" t="str">
        <x:v>Noah</x:v>
      </x:c>
      <x:c r="C366" t="str">
        <x:v>Miller</x:v>
      </x:c>
      <x:c r="D366" t="str">
        <x:v>Peakline Systems</x:v>
      </x:c>
      <x:c r="E366" t="str">
        <x:v>noah.miller981@mailhub.net</x:v>
      </x:c>
      <x:c r="F366" t="str">
        <x:v>(395) 412-8761</x:v>
      </x:c>
      <x:c r="G366" t="str">
        <x:v>CO</x:v>
      </x:c>
      <x:c r="H366" t="str">
        <x:v>Referral</x:v>
      </x:c>
      <x:c r="I366" t="str">
        <x:v>Contacted</x:v>
      </x:c>
      <x:c r="J366" t="str">
        <x:v>Jamie Brooks</x:v>
      </x:c>
      <x:c r="K366" s="6" t="n">
        <x:v>46107</x:v>
      </x:c>
      <x:c r="L366" s="6" t="n">
        <x:v>46125</x:v>
      </x:c>
      <x:c r="M366" s="6" t="n">
        <x:v>46138</x:v>
      </x:c>
      <x:c r="N366" s="8" t="n">
        <x:v>17800</x:v>
      </x:c>
      <x:c r="O366" t="str">
        <x:v>Manufacturing</x:v>
      </x:c>
      <x:c r="P366" t="str">
        <x:v>No</x:v>
      </x:c>
      <x:c r="Q366" t="str">
        <x:v>No</x:v>
      </x:c>
      <x:c r="R366" s="6"/>
    </x:row>
    <x:row r="367">
      <x:c r="A367" t="str">
        <x:v>L-0366</x:v>
      </x:c>
      <x:c r="B367" t="str">
        <x:v>Liam</x:v>
      </x:c>
      <x:c r="C367" t="str">
        <x:v>Thompson</x:v>
      </x:c>
      <x:c r="D367" t="str">
        <x:v>Redstone Consulting</x:v>
      </x:c>
      <x:c r="E367" t="str">
        <x:v>henry.thompson786@mailhub.net</x:v>
      </x:c>
      <x:c r="F367" t="str">
        <x:v>495-276-9755</x:v>
      </x:c>
      <x:c r="G367" t="str">
        <x:v>FL</x:v>
      </x:c>
      <x:c r="H367" t="str">
        <x:v>Email</x:v>
      </x:c>
      <x:c r="I367" t="str">
        <x:v>CONTACTED</x:v>
      </x:c>
      <x:c r="J367" t="str">
        <x:v> Jordan Lee </x:v>
      </x:c>
      <x:c r="K367" s="6" t="n">
        <x:v>46034</x:v>
      </x:c>
      <x:c r="L367" s="6" t="n">
        <x:v>46098</x:v>
      </x:c>
      <x:c r="M367" s="6" t="n">
        <x:v>46113</x:v>
      </x:c>
      <x:c r="N367" s="8" t="n">
        <x:v>60500</x:v>
      </x:c>
      <x:c r="O367" t="str">
        <x:v>Healthcare</x:v>
      </x:c>
      <x:c r="P367" t="str">
        <x:v>No</x:v>
      </x:c>
      <x:c r="Q367" t="str">
        <x:v>No</x:v>
      </x:c>
      <x:c r="R367" s="6"/>
    </x:row>
    <x:row r="368">
      <x:c r="A368" t="str">
        <x:v>L-0367</x:v>
      </x:c>
      <x:c r="B368" t="str">
        <x:v>LIAM</x:v>
      </x:c>
      <x:c r="C368" t="str">
        <x:v>JONES</x:v>
      </x:c>
      <x:c r="D368" t="str">
        <x:v>Apex Manufacturing</x:v>
      </x:c>
      <x:c r="E368" t="str">
        <x:v>liam.jones856@northmail.com</x:v>
      </x:c>
      <x:c r="F368" t="str">
        <x:v>(555) 272-7819</x:v>
      </x:c>
      <x:c r="G368" t="str">
        <x:v>OH</x:v>
      </x:c>
      <x:c r="H368" t="str">
        <x:v>OUTBOUND</x:v>
      </x:c>
      <x:c r="I368" t="str">
        <x:v>New</x:v>
      </x:c>
      <x:c r="J368" t="str">
        <x:v>JAMIE BROOKS</x:v>
      </x:c>
      <x:c r="K368" s="6" t="n">
        <x:v>46120</x:v>
      </x:c>
      <x:c r="L368" s="6" t="n">
        <x:v>46138</x:v>
      </x:c>
      <x:c r="M368" s="6" t="n">
        <x:v>46159</x:v>
      </x:c>
      <x:c r="N368" s="8" t="n">
        <x:v>77100</x:v>
      </x:c>
      <x:c r="O368" t="str">
        <x:v>Biotech</x:v>
      </x:c>
      <x:c r="P368" t="str">
        <x:v>No</x:v>
      </x:c>
      <x:c r="Q368" t="str">
        <x:v>No</x:v>
      </x:c>
      <x:c r="R368" s="6"/>
    </x:row>
    <x:row r="369">
      <x:c r="A369" t="str">
        <x:v>L-0368</x:v>
      </x:c>
      <x:c r="B369" t="str">
        <x:v>Liam</x:v>
      </x:c>
      <x:c r="C369" t="str">
        <x:v>Smith</x:v>
      </x:c>
      <x:c r="D369" t="str">
        <x:v>apex manufacturing</x:v>
      </x:c>
      <x:c r="E369" t="str">
        <x:v> liam.smith129@mailhub.net </x:v>
      </x:c>
      <x:c r="F369" t="str">
        <x:v>(919) 637-3257</x:v>
      </x:c>
      <x:c r="G369" t="str">
        <x:v>OH</x:v>
      </x:c>
      <x:c r="H369" t="str">
        <x:v>LinkedIn</x:v>
      </x:c>
      <x:c r="I369" t="str">
        <x:v>New</x:v>
      </x:c>
      <x:c r="J369" t="str">
        <x:v>Jamie Brooks</x:v>
      </x:c>
      <x:c r="K369" s="6" t="n">
        <x:v>46123</x:v>
      </x:c>
      <x:c r="L369" s="6" t="n">
        <x:v>46136</x:v>
      </x:c>
      <x:c r="M369" s="6" t="n">
        <x:v>46151</x:v>
      </x:c>
      <x:c r="N369" s="8" t="n">
        <x:v>65700</x:v>
      </x:c>
      <x:c r="O369" t="str">
        <x:v>Professional Services</x:v>
      </x:c>
      <x:c r="P369" t="str">
        <x:v>No</x:v>
      </x:c>
      <x:c r="Q369" t="str">
        <x:v>No</x:v>
      </x:c>
      <x:c r="R369" s="6"/>
    </x:row>
    <x:row r="370">
      <x:c r="A370" t="str">
        <x:v>L-0369</x:v>
      </x:c>
      <x:c r="B370" t="str">
        <x:v>Mason</x:v>
      </x:c>
      <x:c r="C370" t="str">
        <x:v>Johnson</x:v>
      </x:c>
      <x:c r="D370" t="str">
        <x:v>BrightPath Health</x:v>
      </x:c>
      <x:c r="E370" t="str">
        <x:v>mason.johnson300@examplebiz.com</x:v>
      </x:c>
      <x:c r="F370" t="str">
        <x:v>(821) 607-8843</x:v>
      </x:c>
      <x:c r="G370" t="str">
        <x:v>CA</x:v>
      </x:c>
      <x:c r="H370" t="str">
        <x:v>webinar</x:v>
      </x:c>
      <x:c r="I370" t="str">
        <x:v>CONTACTED</x:v>
      </x:c>
      <x:c r="J370" t="str">
        <x:v>Taylor Morgan</x:v>
      </x:c>
      <x:c r="K370" s="6" t="n">
        <x:v>46166</x:v>
      </x:c>
      <x:c r="L370" s="6" t="n">
        <x:v>46210</x:v>
      </x:c>
      <x:c r="M370" s="6" t="n">
        <x:v>46232</x:v>
      </x:c>
      <x:c r="N370" s="8" t="n">
        <x:v>56600</x:v>
      </x:c>
      <x:c r="O370" t="str">
        <x:v>Healthcare</x:v>
      </x:c>
      <x:c r="P370" t="str">
        <x:v>No</x:v>
      </x:c>
      <x:c r="Q370" t="str">
        <x:v>No</x:v>
      </x:c>
      <x:c r="R370" s="6"/>
    </x:row>
    <x:row r="371">
      <x:c r="A371" t="str">
        <x:v>L-0370</x:v>
      </x:c>
      <x:c r="B371" t="str">
        <x:v>Mason</x:v>
      </x:c>
      <x:c r="C371" t="str">
        <x:v>Martin</x:v>
      </x:c>
      <x:c r="D371" t="str">
        <x:v>Horizon Bio</x:v>
      </x:c>
      <x:c r="E371" t="str">
        <x:v>mason.martin287@northmail.com</x:v>
      </x:c>
      <x:c r="F371" t="str">
        <x:v>(409) 340-9535</x:v>
      </x:c>
      <x:c r="G371" t="str">
        <x:v>PA</x:v>
      </x:c>
      <x:c r="H371" t="str">
        <x:v>TRADE SHOW</x:v>
      </x:c>
      <x:c r="I371" t="str">
        <x:v>New</x:v>
      </x:c>
      <x:c r="J371" t="str">
        <x:v>Morgan Reed</x:v>
      </x:c>
      <x:c r="K371" s="6" t="n">
        <x:v>46158</x:v>
      </x:c>
      <x:c r="L371" s="6" t="n">
        <x:v>46210</x:v>
      </x:c>
      <x:c r="M371" s="6" t="n">
        <x:v>46235</x:v>
      </x:c>
      <x:c r="N371" s="8" t="n">
        <x:v>80900</x:v>
      </x:c>
      <x:c r="O371" t="str">
        <x:v>Biotech</x:v>
      </x:c>
      <x:c r="P371" t="str">
        <x:v>No</x:v>
      </x:c>
      <x:c r="Q371" t="str">
        <x:v>No</x:v>
      </x:c>
      <x:c r="R371" s="6"/>
    </x:row>
    <x:row r="372">
      <x:c r="A372" t="str">
        <x:v>L-0371</x:v>
      </x:c>
      <x:c r="B372" t="str">
        <x:v>Luna</x:v>
      </x:c>
      <x:c r="C372" t="str">
        <x:v>Thomas</x:v>
      </x:c>
      <x:c r="D372" t="str">
        <x:v>Evergreen Services</x:v>
      </x:c>
      <x:c r="E372" t="str"/>
      <x:c r="F372" t="str">
        <x:v>(589) 388-8062</x:v>
      </x:c>
      <x:c r="G372" t="str">
        <x:v>CO</x:v>
      </x:c>
      <x:c r="H372" t="str">
        <x:v>referral</x:v>
      </x:c>
      <x:c r="I372" t="str">
        <x:v>Opportunity</x:v>
      </x:c>
      <x:c r="J372" t="str">
        <x:v>Jordan Lee</x:v>
      </x:c>
      <x:c r="K372" s="6" t="n">
        <x:v>46120</x:v>
      </x:c>
      <x:c r="L372" s="6" t="n">
        <x:v>46124</x:v>
      </x:c>
      <x:c r="M372" s="6" t="n">
        <x:v>46139</x:v>
      </x:c>
      <x:c r="N372" s="8" t="n">
        <x:v>34200</x:v>
      </x:c>
      <x:c r="O372" t="str">
        <x:v>Technology</x:v>
      </x:c>
      <x:c r="P372" t="str">
        <x:v>Yes</x:v>
      </x:c>
      <x:c r="Q372" t="str">
        <x:v>No</x:v>
      </x:c>
      <x:c r="R372" s="6"/>
    </x:row>
    <x:row r="373">
      <x:c r="A373" t="str">
        <x:v>L-0372</x:v>
      </x:c>
      <x:c r="B373" t="str">
        <x:v>Henry</x:v>
      </x:c>
      <x:c r="C373" t="str">
        <x:v>Taylor</x:v>
      </x:c>
      <x:c r="D373" t="str">
        <x:v>vertex solutions</x:v>
      </x:c>
      <x:c r="E373" t="str">
        <x:v>henry.taylor475@mailhub.net</x:v>
      </x:c>
      <x:c r="F373" t="str">
        <x:v>(787) 936-9501</x:v>
      </x:c>
      <x:c r="G373" t="str">
        <x:v>TX</x:v>
      </x:c>
      <x:c r="H373" t="str">
        <x:v>trade show</x:v>
      </x:c>
      <x:c r="I373" t="str">
        <x:v>Closed-Lost</x:v>
      </x:c>
      <x:c r="J373" t="str">
        <x:v>ALEX KIM</x:v>
      </x:c>
      <x:c r="K373" s="6" t="n">
        <x:v>46073</x:v>
      </x:c>
      <x:c r="L373" s="6" t="n">
        <x:v>46146</x:v>
      </x:c>
      <x:c r="M373" s="6"/>
      <x:c r="N373" s="8" t="n">
        <x:v>73300</x:v>
      </x:c>
      <x:c r="O373" t="str">
        <x:v>Healthcare</x:v>
      </x:c>
      <x:c r="P373" t="str">
        <x:v>Yes</x:v>
      </x:c>
      <x:c r="Q373" t="str">
        <x:v>No</x:v>
      </x:c>
      <x:c r="R373" s="6" t="n">
        <x:v>46150</x:v>
      </x:c>
    </x:row>
    <x:row r="374">
      <x:c r="A374" t="str">
        <x:v>L-0373</x:v>
      </x:c>
      <x:c r="B374" t="str">
        <x:v>SOPHIA</x:v>
      </x:c>
      <x:c r="C374" t="str">
        <x:v>Anderson</x:v>
      </x:c>
      <x:c r="D374" t="str">
        <x:v>Horizon Bio</x:v>
      </x:c>
      <x:c r="E374" t="str">
        <x:v>sophia.anderson868@examplebiz.com</x:v>
      </x:c>
      <x:c r="F374" t="str">
        <x:v>(655) 673-1282</x:v>
      </x:c>
      <x:c r="G374" t="str">
        <x:v>OH</x:v>
      </x:c>
      <x:c r="H374" t="str">
        <x:v>Email Campaign</x:v>
      </x:c>
      <x:c r="I374" t="str">
        <x:v>opportunity</x:v>
      </x:c>
      <x:c r="J374" t="str">
        <x:v> Casey Patel </x:v>
      </x:c>
      <x:c r="K374" s="6" t="n">
        <x:v>46215</x:v>
      </x:c>
      <x:c r="L374" s="6" t="n">
        <x:v>46234</x:v>
      </x:c>
      <x:c r="M374" s="6" t="n">
        <x:v>46255</x:v>
      </x:c>
      <x:c r="N374" s="8" t="n">
        <x:v>57000</x:v>
      </x:c>
      <x:c r="O374" t="str">
        <x:v>Financial Services</x:v>
      </x:c>
      <x:c r="P374" t="str">
        <x:v>Yes</x:v>
      </x:c>
      <x:c r="Q374" t="str">
        <x:v>No</x:v>
      </x:c>
      <x:c r="R374" s="6"/>
    </x:row>
    <x:row r="375">
      <x:c r="A375" t="str">
        <x:v>L-0374</x:v>
      </x:c>
      <x:c r="B375" t="str">
        <x:v>Sophia</x:v>
      </x:c>
      <x:c r="C375" t="str">
        <x:v>RODRIGUEZ</x:v>
      </x:c>
      <x:c r="D375" t="str">
        <x:v>Atlas Commerce</x:v>
      </x:c>
      <x:c r="E375" t="str">
        <x:v> benjamin.williams179@examplebiz.com </x:v>
      </x:c>
      <x:c r="F375" t="str">
        <x:v>(794) 524-1687</x:v>
      </x:c>
      <x:c r="G375" t="str">
        <x:v>FL</x:v>
      </x:c>
      <x:c r="H375" t="str">
        <x:v>LinkedIn</x:v>
      </x:c>
      <x:c r="I375" t="str">
        <x:v>NEW</x:v>
      </x:c>
      <x:c r="J375" t="str">
        <x:v>JORDAN LEE</x:v>
      </x:c>
      <x:c r="K375" s="6" t="n">
        <x:v>46088</x:v>
      </x:c>
      <x:c r="L375" s="6" t="n">
        <x:v>46100</x:v>
      </x:c>
      <x:c r="M375" s="6" t="n">
        <x:v>46110</x:v>
      </x:c>
      <x:c r="N375" s="8" t="n">
        <x:v>11900</x:v>
      </x:c>
      <x:c r="O375" t="str">
        <x:v>Manufacturing</x:v>
      </x:c>
      <x:c r="P375" t="str">
        <x:v>No</x:v>
      </x:c>
      <x:c r="Q375" t="str">
        <x:v>No</x:v>
      </x:c>
      <x:c r="R375" s="6"/>
    </x:row>
    <x:row r="376">
      <x:c r="A376" t="str">
        <x:v>L-0375</x:v>
      </x:c>
      <x:c r="B376" t="str">
        <x:v>olivia</x:v>
      </x:c>
      <x:c r="C376" t="str">
        <x:v> Wilson </x:v>
      </x:c>
      <x:c r="D376" t="str">
        <x:v>Pioneer Tech</x:v>
      </x:c>
      <x:c r="E376" t="str"/>
      <x:c r="F376" t="str">
        <x:v>(868) 583-8711</x:v>
      </x:c>
      <x:c r="G376" t="str">
        <x:v>TX</x:v>
      </x:c>
      <x:c r="H376" t="str">
        <x:v>LINKEDIN</x:v>
      </x:c>
      <x:c r="I376" t="str">
        <x:v>closed won</x:v>
      </x:c>
      <x:c r="J376" t="str">
        <x:v>Casey Patel</x:v>
      </x:c>
      <x:c r="K376" s="6" t="n">
        <x:v>46210</x:v>
      </x:c>
      <x:c r="L376" s="6" t="n">
        <x:v>46211</x:v>
      </x:c>
      <x:c r="M376" s="6"/>
      <x:c r="N376" s="8" t="n">
        <x:v>29400</x:v>
      </x:c>
      <x:c r="O376" t="str">
        <x:v>Professional Services</x:v>
      </x:c>
      <x:c r="P376" t="str">
        <x:v>Yes</x:v>
      </x:c>
      <x:c r="Q376" t="str">
        <x:v>Yes</x:v>
      </x:c>
      <x:c r="R376" s="6" t="n">
        <x:v>46211</x:v>
      </x:c>
    </x:row>
    <x:row r="377">
      <x:c r="A377" t="str">
        <x:v>L-0376</x:v>
      </x:c>
      <x:c r="B377" t="str">
        <x:v>Luna</x:v>
      </x:c>
      <x:c r="C377" t="str">
        <x:v>Johnson</x:v>
      </x:c>
      <x:c r="D377" t="str">
        <x:v>Blue Ridge Supply</x:v>
      </x:c>
      <x:c r="E377" t="str">
        <x:v>luna.johnson562@mailhub.net</x:v>
      </x:c>
      <x:c r="F377" t="str">
        <x:v>(752) 950-2986</x:v>
      </x:c>
      <x:c r="G377" t="str">
        <x:v>OH</x:v>
      </x:c>
      <x:c r="H377" t="str">
        <x:v>WEB</x:v>
      </x:c>
      <x:c r="I377" t="str">
        <x:v>New</x:v>
      </x:c>
      <x:c r="J377" t="str">
        <x:v>Jamie Brooks</x:v>
      </x:c>
      <x:c r="K377" s="6" t="n">
        <x:v>46189</x:v>
      </x:c>
      <x:c r="L377" s="6" t="n">
        <x:v>46225</x:v>
      </x:c>
      <x:c r="M377" s="6" t="n">
        <x:v>46244</x:v>
      </x:c>
      <x:c r="N377" s="8" t="n">
        <x:v>84800</x:v>
      </x:c>
      <x:c r="O377" t="str">
        <x:v>Professional Services</x:v>
      </x:c>
      <x:c r="P377" t="str">
        <x:v>No</x:v>
      </x:c>
      <x:c r="Q377" t="str">
        <x:v>No</x:v>
      </x:c>
      <x:c r="R377" s="6"/>
    </x:row>
    <x:row r="378">
      <x:c r="A378" t="str">
        <x:v>L-0377</x:v>
      </x:c>
      <x:c r="B378" t="str">
        <x:v>Noah</x:v>
      </x:c>
      <x:c r="C378" t="str">
        <x:v>Davis</x:v>
      </x:c>
      <x:c r="D378" t="str">
        <x:v>prairie health</x:v>
      </x:c>
      <x:c r="E378" t="str">
        <x:v>noah.davis460@mailhub.net</x:v>
      </x:c>
      <x:c r="F378" t="str">
        <x:v>(436) 783-3052</x:v>
      </x:c>
      <x:c r="G378" t="str">
        <x:v>IL</x:v>
      </x:c>
      <x:c r="H378" t="str">
        <x:v>website</x:v>
      </x:c>
      <x:c r="I378" t="str">
        <x:v>Qual</x:v>
      </x:c>
      <x:c r="J378" t="str">
        <x:v>Taylor Morgan</x:v>
      </x:c>
      <x:c r="K378" s="6" t="n">
        <x:v>46227</x:v>
      </x:c>
      <x:c r="L378" s="6" t="n">
        <x:v>46238</x:v>
      </x:c>
      <x:c r="M378" s="6" t="n">
        <x:v>46261</x:v>
      </x:c>
      <x:c r="N378" s="8" t="n">
        <x:v>42400</x:v>
      </x:c>
      <x:c r="O378" t="str">
        <x:v>Professional Services</x:v>
      </x:c>
      <x:c r="P378" t="str">
        <x:v>Yes</x:v>
      </x:c>
      <x:c r="Q378" t="str">
        <x:v>No</x:v>
      </x:c>
      <x:c r="R378" s="6"/>
    </x:row>
    <x:row r="379">
      <x:c r="A379" t="str">
        <x:v>L-0378</x:v>
      </x:c>
      <x:c r="B379" t="str">
        <x:v>Olivia</x:v>
      </x:c>
      <x:c r="C379" t="str">
        <x:v>Garcia</x:v>
      </x:c>
      <x:c r="D379" t="str">
        <x:v>Prairie Health</x:v>
      </x:c>
      <x:c r="E379" t="str">
        <x:v> olivia.garcia854@mailhub.net </x:v>
      </x:c>
      <x:c r="F379" t="str">
        <x:v>(225) 906-3735</x:v>
      </x:c>
      <x:c r="G379" t="str">
        <x:v>CA</x:v>
      </x:c>
      <x:c r="H379" t="str">
        <x:v>WEB</x:v>
      </x:c>
      <x:c r="I379" t="str">
        <x:v>Contacted</x:v>
      </x:c>
      <x:c r="J379" t="str">
        <x:v>Jordan Lee</x:v>
      </x:c>
      <x:c r="K379" s="6" t="n">
        <x:v>46105</x:v>
      </x:c>
      <x:c r="L379" s="6" t="n">
        <x:v>46225</x:v>
      </x:c>
      <x:c r="M379" s="6" t="n">
        <x:v>46231</x:v>
      </x:c>
      <x:c r="N379" s="8" t="n">
        <x:v>12900</x:v>
      </x:c>
      <x:c r="O379" t="str">
        <x:v>Healthcare</x:v>
      </x:c>
      <x:c r="P379" t="str">
        <x:v>No</x:v>
      </x:c>
      <x:c r="Q379" t="str">
        <x:v>No</x:v>
      </x:c>
      <x:c r="R379" s="6"/>
    </x:row>
    <x:row r="380">
      <x:c r="A380" t="str">
        <x:v>L-0379</x:v>
      </x:c>
      <x:c r="B380" t="str">
        <x:v>Liam</x:v>
      </x:c>
      <x:c r="C380" t="str">
        <x:v>Williams</x:v>
      </x:c>
      <x:c r="D380" t="str">
        <x:v>Pioneer Tech</x:v>
      </x:c>
      <x:c r="E380" t="str">
        <x:v> liam.williams188@northmail.com </x:v>
      </x:c>
      <x:c r="F380" t="str">
        <x:v>(356) 207-7060</x:v>
      </x:c>
      <x:c r="G380" t="str">
        <x:v>AZ</x:v>
      </x:c>
      <x:c r="H380" t="str">
        <x:v>Linked In</x:v>
      </x:c>
      <x:c r="I380" t="str">
        <x:v>opportunity</x:v>
      </x:c>
      <x:c r="J380" t="str">
        <x:v>Jamie Brooks</x:v>
      </x:c>
      <x:c r="K380" s="6" t="n">
        <x:v>46135</x:v>
      </x:c>
      <x:c r="L380" s="6" t="n">
        <x:v>46172</x:v>
      </x:c>
      <x:c r="M380" s="6" t="n">
        <x:v>46190</x:v>
      </x:c>
      <x:c r="N380" s="8" t="n">
        <x:v>60300</x:v>
      </x:c>
      <x:c r="O380" t="str">
        <x:v>Logistics</x:v>
      </x:c>
      <x:c r="P380" t="str">
        <x:v>Yes</x:v>
      </x:c>
      <x:c r="Q380" t="str">
        <x:v>No</x:v>
      </x:c>
      <x:c r="R380" s="6"/>
    </x:row>
    <x:row r="381">
      <x:c r="A381" t="str">
        <x:v>L-0380</x:v>
      </x:c>
      <x:c r="B381" t="str">
        <x:v>Isabella</x:v>
      </x:c>
      <x:c r="C381" t="str">
        <x:v>Garcia</x:v>
      </x:c>
      <x:c r="D381" t="str">
        <x:v>Blue Ridge Supply</x:v>
      </x:c>
      <x:c r="E381" t="str">
        <x:v>isabella.garcia322@northmail.com</x:v>
      </x:c>
      <x:c r="F381" t="str">
        <x:v>(556) 491-3713</x:v>
      </x:c>
      <x:c r="G381" t="str">
        <x:v>PA</x:v>
      </x:c>
      <x:c r="H381" t="str">
        <x:v>email campaign</x:v>
      </x:c>
      <x:c r="I381" t="str">
        <x:v>OPP</x:v>
      </x:c>
      <x:c r="J381" t="str">
        <x:v>Alex Kim</x:v>
      </x:c>
      <x:c r="K381" s="6" t="n">
        <x:v>46136</x:v>
      </x:c>
      <x:c r="L381" s="6" t="n">
        <x:v>46202</x:v>
      </x:c>
      <x:c r="M381" s="6" t="n">
        <x:v>46213</x:v>
      </x:c>
      <x:c r="N381" s="8" t="n">
        <x:v>49900</x:v>
      </x:c>
      <x:c r="O381" t="str">
        <x:v>Healthcare</x:v>
      </x:c>
      <x:c r="P381" t="str">
        <x:v>Yes</x:v>
      </x:c>
      <x:c r="Q381" t="str">
        <x:v>No</x:v>
      </x:c>
      <x:c r="R381" s="6"/>
    </x:row>
    <x:row r="382">
      <x:c r="A382" t="str">
        <x:v>L-0381</x:v>
      </x:c>
      <x:c r="B382" t="str">
        <x:v>ethan</x:v>
      </x:c>
      <x:c r="C382" t="str">
        <x:v>smith</x:v>
      </x:c>
      <x:c r="D382" t="str">
        <x:v>Peakline Systems</x:v>
      </x:c>
      <x:c r="E382" t="str">
        <x:v>ethan.smith437@mailhub.net</x:v>
      </x:c>
      <x:c r="F382" t="str">
        <x:v>(734) 329-8435</x:v>
      </x:c>
      <x:c r="G382" t="str">
        <x:v>CO</x:v>
      </x:c>
      <x:c r="H382" t="str">
        <x:v>Webinar</x:v>
      </x:c>
      <x:c r="I382" t="str">
        <x:v>closed won</x:v>
      </x:c>
      <x:c r="J382" t="str">
        <x:v>Alex Kim</x:v>
      </x:c>
      <x:c r="K382" s="6" t="n">
        <x:v>46152</x:v>
      </x:c>
      <x:c r="L382" s="6" t="n">
        <x:v>46178</x:v>
      </x:c>
      <x:c r="M382" s="6"/>
      <x:c r="N382" s="8" t="n">
        <x:v>25800</x:v>
      </x:c>
      <x:c r="O382" t="str">
        <x:v>Retail</x:v>
      </x:c>
      <x:c r="P382" t="str">
        <x:v>Yes</x:v>
      </x:c>
      <x:c r="Q382" t="str">
        <x:v>Yes</x:v>
      </x:c>
      <x:c r="R382" s="6" t="n">
        <x:v>46182</x:v>
      </x:c>
    </x:row>
    <x:row r="383">
      <x:c r="A383" t="str">
        <x:v>L-0382</x:v>
      </x:c>
      <x:c r="B383" t="str">
        <x:v>Isabella</x:v>
      </x:c>
      <x:c r="C383" t="str">
        <x:v>Garcia</x:v>
      </x:c>
      <x:c r="D383" t="str">
        <x:v>Redstone Consulting</x:v>
      </x:c>
      <x:c r="E383" t="str">
        <x:v>isabella.garcia444@northmail.com</x:v>
      </x:c>
      <x:c r="F383" t="str">
        <x:v>(923) 733-6202</x:v>
      </x:c>
      <x:c r="G383" t="str">
        <x:v>NC</x:v>
      </x:c>
      <x:c r="H383" t="str">
        <x:v>Linked In</x:v>
      </x:c>
      <x:c r="I383" t="str">
        <x:v>qualified</x:v>
      </x:c>
      <x:c r="J383" t="str">
        <x:v>Jordan Lee</x:v>
      </x:c>
      <x:c r="K383" s="6" t="n">
        <x:v>46048</x:v>
      </x:c>
      <x:c r="L383" s="6" t="n">
        <x:v>46066</x:v>
      </x:c>
      <x:c r="M383" s="6" t="n">
        <x:v>46091</x:v>
      </x:c>
      <x:c r="N383" s="8" t="n">
        <x:v>59300</x:v>
      </x:c>
      <x:c r="O383" t="str">
        <x:v>Financial Services</x:v>
      </x:c>
      <x:c r="P383" t="str">
        <x:v>Yes</x:v>
      </x:c>
      <x:c r="Q383" t="str">
        <x:v>No</x:v>
      </x:c>
      <x:c r="R383" s="6"/>
    </x:row>
    <x:row r="384">
      <x:c r="A384" t="str">
        <x:v>L-0383</x:v>
      </x:c>
      <x:c r="B384" t="str">
        <x:v>Ethan</x:v>
      </x:c>
      <x:c r="C384" t="str">
        <x:v> Jackson </x:v>
      </x:c>
      <x:c r="D384" t="str">
        <x:v>Evergreen Services</x:v>
      </x:c>
      <x:c r="E384" t="str">
        <x:v>ethan.jackson572@examplebiz.com</x:v>
      </x:c>
      <x:c r="F384" t="str">
        <x:v>(928) 382-1635</x:v>
      </x:c>
      <x:c r="G384" t="str">
        <x:v>FL</x:v>
      </x:c>
      <x:c r="H384" t="str">
        <x:v>Linked In</x:v>
      </x:c>
      <x:c r="I384" t="str">
        <x:v>new</x:v>
      </x:c>
      <x:c r="J384" t="str">
        <x:v>Morgan Reed</x:v>
      </x:c>
      <x:c r="K384" s="6" t="n">
        <x:v>46114</x:v>
      </x:c>
      <x:c r="L384" s="6" t="n">
        <x:v>46168</x:v>
      </x:c>
      <x:c r="M384" s="6" t="n">
        <x:v>46171</x:v>
      </x:c>
      <x:c r="N384" s="8" t="n">
        <x:v>38300</x:v>
      </x:c>
      <x:c r="O384" t="str">
        <x:v>Manufacturing</x:v>
      </x:c>
      <x:c r="P384" t="str">
        <x:v>No</x:v>
      </x:c>
      <x:c r="Q384" t="str">
        <x:v>No</x:v>
      </x:c>
      <x:c r="R384" s="6"/>
    </x:row>
    <x:row r="385">
      <x:c r="A385" t="str">
        <x:v>L-0384</x:v>
      </x:c>
      <x:c r="B385" t="str">
        <x:v>Amelia</x:v>
      </x:c>
      <x:c r="C385" t="str">
        <x:v>Thompson</x:v>
      </x:c>
      <x:c r="D385" t="str">
        <x:v>Pioneer Tech</x:v>
      </x:c>
      <x:c r="E385" t="str">
        <x:v>amelia.thompson334@examplebiz.com</x:v>
      </x:c>
      <x:c r="F385" t="str">
        <x:v>(879) 635-2897</x:v>
      </x:c>
      <x:c r="G385" t="str">
        <x:v>NY</x:v>
      </x:c>
      <x:c r="H385" t="str">
        <x:v>Website</x:v>
      </x:c>
      <x:c r="I385" t="str">
        <x:v>new</x:v>
      </x:c>
      <x:c r="J385" t="str">
        <x:v>Morgan Reed</x:v>
      </x:c>
      <x:c r="K385" s="6" t="n">
        <x:v>46053</x:v>
      </x:c>
      <x:c r="L385" s="6" t="n">
        <x:v>46248</x:v>
      </x:c>
      <x:c r="M385" s="6" t="n">
        <x:v>46260</x:v>
      </x:c>
      <x:c r="N385" s="8" t="n">
        <x:v>37100</x:v>
      </x:c>
      <x:c r="O385" t="str">
        <x:v>Logistics</x:v>
      </x:c>
      <x:c r="P385" t="str">
        <x:v>No</x:v>
      </x:c>
      <x:c r="Q385" t="str">
        <x:v>No</x:v>
      </x:c>
      <x:c r="R385" s="6"/>
    </x:row>
    <x:row r="386">
      <x:c r="A386" t="str">
        <x:v>L-0385</x:v>
      </x:c>
      <x:c r="B386" t="str">
        <x:v>Olivia</x:v>
      </x:c>
      <x:c r="C386" t="str">
        <x:v>taylor</x:v>
      </x:c>
      <x:c r="D386" t="str">
        <x:v>Peakline Systems</x:v>
      </x:c>
      <x:c r="E386" t="str">
        <x:v>olivia.taylor275@mailhub.net</x:v>
      </x:c>
      <x:c r="F386" t="str">
        <x:v>(946) 424-6567</x:v>
      </x:c>
      <x:c r="G386" t="str">
        <x:v>NY</x:v>
      </x:c>
      <x:c r="H386" t="str">
        <x:v>LinkedIn</x:v>
      </x:c>
      <x:c r="I386" t="str">
        <x:v>Contacted</x:v>
      </x:c>
      <x:c r="J386" t="str"/>
      <x:c r="K386" s="6" t="n">
        <x:v>46039</x:v>
      </x:c>
      <x:c r="L386" s="6" t="n">
        <x:v>46152</x:v>
      </x:c>
      <x:c r="M386" s="6" t="n">
        <x:v>46168</x:v>
      </x:c>
      <x:c r="N386" s="8" t="n">
        <x:v>35400</x:v>
      </x:c>
      <x:c r="O386" t="str">
        <x:v>Biotech</x:v>
      </x:c>
      <x:c r="P386" t="str">
        <x:v>No</x:v>
      </x:c>
      <x:c r="Q386" t="str">
        <x:v>No</x:v>
      </x:c>
      <x:c r="R386" s="6"/>
    </x:row>
    <x:row r="387">
      <x:c r="A387" t="str">
        <x:v>L-0386</x:v>
      </x:c>
      <x:c r="B387" t="str">
        <x:v>AMELIA</x:v>
      </x:c>
      <x:c r="C387" t="str">
        <x:v>WILLIAMS</x:v>
      </x:c>
      <x:c r="D387" t="str">
        <x:v>Redstone Consulting</x:v>
      </x:c>
      <x:c r="E387" t="str">
        <x:v> amelia.williams859@mailhub.net </x:v>
      </x:c>
      <x:c r="F387" t="str">
        <x:v>(936) 434-5754</x:v>
      </x:c>
      <x:c r="G387" t="str">
        <x:v>GA</x:v>
      </x:c>
      <x:c r="H387" t="str">
        <x:v> Website </x:v>
      </x:c>
      <x:c r="I387" t="str">
        <x:v>New</x:v>
      </x:c>
      <x:c r="J387" t="str">
        <x:v>taylor morgan</x:v>
      </x:c>
      <x:c r="K387" s="6" t="n">
        <x:v>46193</x:v>
      </x:c>
      <x:c r="L387" s="6" t="n">
        <x:v>46216</x:v>
      </x:c>
      <x:c r="M387" s="6" t="n">
        <x:v>46236</x:v>
      </x:c>
      <x:c r="N387" s="8" t="n">
        <x:v>18900</x:v>
      </x:c>
      <x:c r="O387" t="str">
        <x:v>Biotech</x:v>
      </x:c>
      <x:c r="P387" t="str">
        <x:v>No</x:v>
      </x:c>
      <x:c r="Q387" t="str">
        <x:v>No</x:v>
      </x:c>
      <x:c r="R387" s="6"/>
    </x:row>
    <x:row r="388">
      <x:c r="A388" t="str">
        <x:v>L-0387</x:v>
      </x:c>
      <x:c r="B388" t="str">
        <x:v>Lucas</x:v>
      </x:c>
      <x:c r="C388" t="str">
        <x:v>smith</x:v>
      </x:c>
      <x:c r="D388" t="str">
        <x:v>Clearview Media</x:v>
      </x:c>
      <x:c r="E388" t="str">
        <x:v>lucas.smith898@prospect.co</x:v>
      </x:c>
      <x:c r="F388" t="str"/>
      <x:c r="G388" t="str">
        <x:v>CO</x:v>
      </x:c>
      <x:c r="H388" t="str">
        <x:v>REFERRAL</x:v>
      </x:c>
      <x:c r="I388" t="str">
        <x:v>new</x:v>
      </x:c>
      <x:c r="J388" t="str">
        <x:v>Jamie Brooks</x:v>
      </x:c>
      <x:c r="K388" s="6" t="n">
        <x:v>46046</x:v>
      </x:c>
      <x:c r="L388" s="6" t="n">
        <x:v>46142</x:v>
      </x:c>
      <x:c r="M388" s="6" t="n">
        <x:v>46165</x:v>
      </x:c>
      <x:c r="N388" s="8" t="n">
        <x:v>35600</x:v>
      </x:c>
      <x:c r="O388" t="str">
        <x:v>Retail</x:v>
      </x:c>
      <x:c r="P388" t="str">
        <x:v>No</x:v>
      </x:c>
      <x:c r="Q388" t="str">
        <x:v>No</x:v>
      </x:c>
      <x:c r="R388" s="6"/>
    </x:row>
    <x:row r="389">
      <x:c r="A389" t="str">
        <x:v>L-0388</x:v>
      </x:c>
      <x:c r="B389" t="str">
        <x:v>Ava</x:v>
      </x:c>
      <x:c r="C389" t="str">
        <x:v>Martinez</x:v>
      </x:c>
      <x:c r="D389" t="str">
        <x:v>Horizon Bio</x:v>
      </x:c>
      <x:c r="E389" t="str">
        <x:v>ava.martinez96@examplebiz.com</x:v>
      </x:c>
      <x:c r="F389" t="str">
        <x:v>(617) 774-5563</x:v>
      </x:c>
      <x:c r="G389" t="str">
        <x:v>FL</x:v>
      </x:c>
      <x:c r="H389" t="str">
        <x:v>Website</x:v>
      </x:c>
      <x:c r="I389" t="str">
        <x:v>Closed-Lost</x:v>
      </x:c>
      <x:c r="J389" t="str">
        <x:v>Morgan Reed</x:v>
      </x:c>
      <x:c r="K389" s="6" t="n">
        <x:v>46099</x:v>
      </x:c>
      <x:c r="L389" s="6" t="n">
        <x:v>46219</x:v>
      </x:c>
      <x:c r="M389" s="6"/>
      <x:c r="N389" s="8" t="n">
        <x:v>33600</x:v>
      </x:c>
      <x:c r="O389" t="str">
        <x:v>Logistics</x:v>
      </x:c>
      <x:c r="P389" t="str">
        <x:v>Yes</x:v>
      </x:c>
      <x:c r="Q389" t="str">
        <x:v>No</x:v>
      </x:c>
      <x:c r="R389" s="6" t="n">
        <x:v>46225</x:v>
      </x:c>
    </x:row>
    <x:row r="390">
      <x:c r="A390" t="str">
        <x:v>L-0389</x:v>
      </x:c>
      <x:c r="B390" t="str">
        <x:v>Harper</x:v>
      </x:c>
      <x:c r="C390" t="str">
        <x:v>Anderson</x:v>
      </x:c>
      <x:c r="D390" t="str">
        <x:v>Atlas Commerce</x:v>
      </x:c>
      <x:c r="E390" t="str">
        <x:v>harper.anderson886@mailhub.net</x:v>
      </x:c>
      <x:c r="F390" t="str">
        <x:v>(808) 455-2374</x:v>
      </x:c>
      <x:c r="G390" t="str">
        <x:v>OH</x:v>
      </x:c>
      <x:c r="H390" t="str">
        <x:v>REFERRAL</x:v>
      </x:c>
      <x:c r="I390" t="str">
        <x:v>NEW</x:v>
      </x:c>
      <x:c r="J390" t="str">
        <x:v>Taylor Morgan</x:v>
      </x:c>
      <x:c r="K390" s="6" t="n">
        <x:v>46085</x:v>
      </x:c>
      <x:c r="L390" s="6" t="n">
        <x:v>46106</x:v>
      </x:c>
      <x:c r="M390" s="6" t="n">
        <x:v>46112</x:v>
      </x:c>
      <x:c r="N390" s="8" t="n">
        <x:v>48800</x:v>
      </x:c>
      <x:c r="O390" t="str">
        <x:v>Technology</x:v>
      </x:c>
      <x:c r="P390" t="str">
        <x:v>No</x:v>
      </x:c>
      <x:c r="Q390" t="str">
        <x:v>No</x:v>
      </x:c>
      <x:c r="R390" s="6"/>
    </x:row>
    <x:row r="391">
      <x:c r="A391" t="str">
        <x:v>L-0390</x:v>
      </x:c>
      <x:c r="B391" t="str">
        <x:v>James</x:v>
      </x:c>
      <x:c r="C391" t="str">
        <x:v>SMITH</x:v>
      </x:c>
      <x:c r="D391" t="str">
        <x:v>Horizon Bio</x:v>
      </x:c>
      <x:c r="E391" t="str">
        <x:v>james.smith495@northmail.com</x:v>
      </x:c>
      <x:c r="F391" t="str">
        <x:v>(308) 635-2269</x:v>
      </x:c>
      <x:c r="G391" t="str">
        <x:v>GA</x:v>
      </x:c>
      <x:c r="H391" t="str">
        <x:v>Email</x:v>
      </x:c>
      <x:c r="I391" t="str">
        <x:v>qualified</x:v>
      </x:c>
      <x:c r="J391" t="str">
        <x:v>Jamie Brooks</x:v>
      </x:c>
      <x:c r="K391" s="6" t="n">
        <x:v>46166</x:v>
      </x:c>
      <x:c r="L391" s="6" t="n">
        <x:v>46249</x:v>
      </x:c>
      <x:c r="M391" s="6" t="n">
        <x:v>46259</x:v>
      </x:c>
      <x:c r="N391" s="8" t="n">
        <x:v>29100</x:v>
      </x:c>
      <x:c r="O391" t="str">
        <x:v>Retail</x:v>
      </x:c>
      <x:c r="P391" t="str">
        <x:v>Yes</x:v>
      </x:c>
      <x:c r="Q391" t="str">
        <x:v>No</x:v>
      </x:c>
      <x:c r="R391" s="6"/>
    </x:row>
    <x:row r="392">
      <x:c r="A392" t="str">
        <x:v>L-0391</x:v>
      </x:c>
      <x:c r="B392" t="str">
        <x:v>Elijah</x:v>
      </x:c>
      <x:c r="C392" t="str">
        <x:v> Taylor </x:v>
      </x:c>
      <x:c r="D392" t="str">
        <x:v>Silverline Foods</x:v>
      </x:c>
      <x:c r="E392" t="str">
        <x:v>elijah.taylor630@prospect.co</x:v>
      </x:c>
      <x:c r="F392" t="str">
        <x:v>(778) 865-3718</x:v>
      </x:c>
      <x:c r="G392" t="str">
        <x:v>NY</x:v>
      </x:c>
      <x:c r="H392" t="str">
        <x:v>website</x:v>
      </x:c>
      <x:c r="I392" t="str">
        <x:v>closed lost</x:v>
      </x:c>
      <x:c r="J392" t="str">
        <x:v>Casey Patel</x:v>
      </x:c>
      <x:c r="K392" s="6" t="n">
        <x:v>46062</x:v>
      </x:c>
      <x:c r="L392" s="6" t="n">
        <x:v>46235</x:v>
      </x:c>
      <x:c r="M392" s="6"/>
      <x:c r="N392" s="8" t="n">
        <x:v>24900</x:v>
      </x:c>
      <x:c r="O392" t="str">
        <x:v>Healthcare</x:v>
      </x:c>
      <x:c r="P392" t="str">
        <x:v>Yes</x:v>
      </x:c>
      <x:c r="Q392" t="str">
        <x:v>No</x:v>
      </x:c>
      <x:c r="R392" s="6" t="n">
        <x:v>46239</x:v>
      </x:c>
    </x:row>
    <x:row r="393">
      <x:c r="A393" t="str">
        <x:v>L-0392</x:v>
      </x:c>
      <x:c r="B393" t="str">
        <x:v>BENJAMIN</x:v>
      </x:c>
      <x:c r="C393" t="str">
        <x:v> Smith </x:v>
      </x:c>
      <x:c r="D393" t="str">
        <x:v>Redstone Consulting</x:v>
      </x:c>
      <x:c r="E393" t="str">
        <x:v>benjamin.smith97@mailhub.net</x:v>
      </x:c>
      <x:c r="F393" t="str">
        <x:v>(539) 296-2001</x:v>
      </x:c>
      <x:c r="G393" t="str">
        <x:v>CA</x:v>
      </x:c>
      <x:c r="H393" t="str">
        <x:v>WEB</x:v>
      </x:c>
      <x:c r="I393" t="str">
        <x:v>new</x:v>
      </x:c>
      <x:c r="J393" t="str">
        <x:v>Jamie Brooks</x:v>
      </x:c>
      <x:c r="K393" s="6" t="n">
        <x:v>46245</x:v>
      </x:c>
      <x:c r="L393" s="6" t="n">
        <x:v>46247</x:v>
      </x:c>
      <x:c r="M393" s="6" t="n">
        <x:v>46272</x:v>
      </x:c>
      <x:c r="N393" s="8" t="n">
        <x:v>18000</x:v>
      </x:c>
      <x:c r="O393" t="str">
        <x:v>Professional Services</x:v>
      </x:c>
      <x:c r="P393" t="str">
        <x:v>No</x:v>
      </x:c>
      <x:c r="Q393" t="str">
        <x:v>No</x:v>
      </x:c>
      <x:c r="R393" s="6"/>
    </x:row>
    <x:row r="394">
      <x:c r="A394" t="str">
        <x:v>L-0393</x:v>
      </x:c>
      <x:c r="B394" t="str">
        <x:v>Amelia</x:v>
      </x:c>
      <x:c r="C394" t="str">
        <x:v>rodriguez</x:v>
      </x:c>
      <x:c r="D394" t="str">
        <x:v>Apex Manufacturing</x:v>
      </x:c>
      <x:c r="E394" t="str">
        <x:v>evelyn.perez355@mailhub.net</x:v>
      </x:c>
      <x:c r="F394" t="str">
        <x:v>(539) 789-5542</x:v>
      </x:c>
      <x:c r="G394" t="str">
        <x:v>WA</x:v>
      </x:c>
      <x:c r="H394" t="str">
        <x:v>Website</x:v>
      </x:c>
      <x:c r="I394" t="str">
        <x:v>opportunity</x:v>
      </x:c>
      <x:c r="J394" t="str">
        <x:v>TAYLOR MORGAN</x:v>
      </x:c>
      <x:c r="K394" s="6" t="n">
        <x:v>46175</x:v>
      </x:c>
      <x:c r="L394" s="6" t="n">
        <x:v>46197</x:v>
      </x:c>
      <x:c r="M394" s="6" t="n">
        <x:v>46208</x:v>
      </x:c>
      <x:c r="N394" s="8" t="n">
        <x:v>49000</x:v>
      </x:c>
      <x:c r="O394" t="str">
        <x:v>Technology</x:v>
      </x:c>
      <x:c r="P394" t="str">
        <x:v>Yes</x:v>
      </x:c>
      <x:c r="Q394" t="str">
        <x:v>No</x:v>
      </x:c>
      <x:c r="R394" s="6"/>
    </x:row>
    <x:row r="395">
      <x:c r="A395" t="str">
        <x:v>L-0394</x:v>
      </x:c>
      <x:c r="B395" t="str">
        <x:v>Liam</x:v>
      </x:c>
      <x:c r="C395" t="str">
        <x:v>Jones</x:v>
      </x:c>
      <x:c r="D395" t="str">
        <x:v>Prairie Health</x:v>
      </x:c>
      <x:c r="E395" t="str">
        <x:v>liam.jones793@mailhub.net</x:v>
      </x:c>
      <x:c r="F395" t="str">
        <x:v>(924) 685-6816</x:v>
      </x:c>
      <x:c r="G395" t="str">
        <x:v>OH</x:v>
      </x:c>
      <x:c r="H395" t="str">
        <x:v>webinar</x:v>
      </x:c>
      <x:c r="I395" t="str">
        <x:v>CONTACTED</x:v>
      </x:c>
      <x:c r="J395" t="str">
        <x:v>Morgan Reed</x:v>
      </x:c>
      <x:c r="K395" s="6" t="n">
        <x:v>46052</x:v>
      </x:c>
      <x:c r="L395" s="6" t="n">
        <x:v>46082</x:v>
      </x:c>
      <x:c r="M395" s="6" t="n">
        <x:v>46092</x:v>
      </x:c>
      <x:c r="N395" s="8" t="n">
        <x:v>48700</x:v>
      </x:c>
      <x:c r="O395" t="str">
        <x:v>Professional Services</x:v>
      </x:c>
      <x:c r="P395" t="str">
        <x:v>No</x:v>
      </x:c>
      <x:c r="Q395" t="str">
        <x:v>No</x:v>
      </x:c>
      <x:c r="R395" s="6"/>
    </x:row>
    <x:row r="396">
      <x:c r="A396" t="str">
        <x:v>L-0395</x:v>
      </x:c>
      <x:c r="B396" t="str">
        <x:v>elijah</x:v>
      </x:c>
      <x:c r="C396" t="str">
        <x:v>Taylor</x:v>
      </x:c>
      <x:c r="D396" t="str">
        <x:v>Pioneer Tech</x:v>
      </x:c>
      <x:c r="E396" t="str">
        <x:v>elijah.taylor219@examplebiz.com</x:v>
      </x:c>
      <x:c r="F396" t="str">
        <x:v>(592) 583-3932</x:v>
      </x:c>
      <x:c r="G396" t="str">
        <x:v>CO</x:v>
      </x:c>
      <x:c r="H396" t="str">
        <x:v>Email Campaign</x:v>
      </x:c>
      <x:c r="I396" t="str">
        <x:v>WON</x:v>
      </x:c>
      <x:c r="J396" t="str">
        <x:v>Morgan Reed</x:v>
      </x:c>
      <x:c r="K396" s="6" t="n">
        <x:v>46049</x:v>
      </x:c>
      <x:c r="L396" s="6" t="n">
        <x:v>46220</x:v>
      </x:c>
      <x:c r="M396" s="6"/>
      <x:c r="N396" s="8" t="n">
        <x:v>31000</x:v>
      </x:c>
      <x:c r="O396" t="str">
        <x:v>Manufacturing</x:v>
      </x:c>
      <x:c r="P396" t="str">
        <x:v>Yes</x:v>
      </x:c>
      <x:c r="Q396" t="str">
        <x:v>Yes</x:v>
      </x:c>
      <x:c r="R396" s="6" t="n">
        <x:v>46225</x:v>
      </x:c>
    </x:row>
    <x:row r="397">
      <x:c r="A397" t="str">
        <x:v>L-0396</x:v>
      </x:c>
      <x:c r="B397" t="str">
        <x:v>Amelia</x:v>
      </x:c>
      <x:c r="C397" t="str">
        <x:v>johnson</x:v>
      </x:c>
      <x:c r="D397" t="str">
        <x:v>Horizon Bio</x:v>
      </x:c>
      <x:c r="E397" t="str"/>
      <x:c r="F397" t="str">
        <x:v>(378) 684-9938</x:v>
      </x:c>
      <x:c r="G397" t="str">
        <x:v>OH</x:v>
      </x:c>
      <x:c r="H397" t="str">
        <x:v>Website</x:v>
      </x:c>
      <x:c r="I397" t="str">
        <x:v>Qual</x:v>
      </x:c>
      <x:c r="J397" t="str"/>
      <x:c r="K397" s="6" t="n">
        <x:v>46239</x:v>
      </x:c>
      <x:c r="L397" s="6" t="n">
        <x:v>46250</x:v>
      </x:c>
      <x:c r="M397" s="6" t="n">
        <x:v>46268</x:v>
      </x:c>
      <x:c r="N397" s="8" t="n">
        <x:v>84800</x:v>
      </x:c>
      <x:c r="O397" t="str">
        <x:v>Financial Services</x:v>
      </x:c>
      <x:c r="P397" t="str">
        <x:v>Yes</x:v>
      </x:c>
      <x:c r="Q397" t="str">
        <x:v>No</x:v>
      </x:c>
      <x:c r="R397" s="6"/>
    </x:row>
    <x:row r="398">
      <x:c r="A398" t="str">
        <x:v>L-0397</x:v>
      </x:c>
      <x:c r="B398" t="str">
        <x:v>Liam</x:v>
      </x:c>
      <x:c r="C398" t="str">
        <x:v> Wilson </x:v>
      </x:c>
      <x:c r="D398" t="str">
        <x:v>SUMMIT ANALYTICS</x:v>
      </x:c>
      <x:c r="E398" t="str">
        <x:v>liam.wilson928@prospect.co</x:v>
      </x:c>
      <x:c r="F398" t="str">
        <x:v>(729) 214-7605</x:v>
      </x:c>
      <x:c r="G398" t="str">
        <x:v>FL</x:v>
      </x:c>
      <x:c r="H398" t="str">
        <x:v>Linked In</x:v>
      </x:c>
      <x:c r="I398" t="str">
        <x:v>Opportunity</x:v>
      </x:c>
      <x:c r="J398" t="str">
        <x:v>Taylor Morgan</x:v>
      </x:c>
      <x:c r="K398" s="6" t="n">
        <x:v>46161</x:v>
      </x:c>
      <x:c r="L398" s="6" t="n">
        <x:v>46247</x:v>
      </x:c>
      <x:c r="M398" s="6" t="n">
        <x:v>46260</x:v>
      </x:c>
      <x:c r="N398" s="8" t="n">
        <x:v>76600</x:v>
      </x:c>
      <x:c r="O398" t="str">
        <x:v>Financial Services</x:v>
      </x:c>
      <x:c r="P398" t="str">
        <x:v>Yes</x:v>
      </x:c>
      <x:c r="Q398" t="str">
        <x:v>No</x:v>
      </x:c>
      <x:c r="R398" s="6"/>
    </x:row>
    <x:row r="399">
      <x:c r="A399" t="str">
        <x:v>L-0398</x:v>
      </x:c>
      <x:c r="B399" t="str">
        <x:v>Ava</x:v>
      </x:c>
      <x:c r="C399" t="str">
        <x:v>martinez</x:v>
      </x:c>
      <x:c r="D399" t="str">
        <x:v>Horizon Bio</x:v>
      </x:c>
      <x:c r="E399" t="str">
        <x:v>ava.martinez120@northmail.com</x:v>
      </x:c>
      <x:c r="F399" t="str">
        <x:v>(387) 947-2415</x:v>
      </x:c>
      <x:c r="G399" t="str">
        <x:v>TX</x:v>
      </x:c>
      <x:c r="H399" t="str">
        <x:v>referral</x:v>
      </x:c>
      <x:c r="I399" t="str">
        <x:v>qualified</x:v>
      </x:c>
      <x:c r="J399" t="str">
        <x:v>Jordan Lee</x:v>
      </x:c>
      <x:c r="K399" s="6" t="n">
        <x:v>46068</x:v>
      </x:c>
      <x:c r="L399" s="6" t="n">
        <x:v>46090</x:v>
      </x:c>
      <x:c r="M399" s="6" t="n">
        <x:v>46111</x:v>
      </x:c>
      <x:c r="N399" s="8" t="n">
        <x:v>79200</x:v>
      </x:c>
      <x:c r="O399" t="str">
        <x:v>Biotech</x:v>
      </x:c>
      <x:c r="P399" t="str">
        <x:v>Yes</x:v>
      </x:c>
      <x:c r="Q399" t="str">
        <x:v>No</x:v>
      </x:c>
      <x:c r="R399" s="6"/>
    </x:row>
    <x:row r="400">
      <x:c r="A400" t="str">
        <x:v>L-0399</x:v>
      </x:c>
      <x:c r="B400" t="str">
        <x:v>Amelia</x:v>
      </x:c>
      <x:c r="C400" t="str">
        <x:v> Martinez </x:v>
      </x:c>
      <x:c r="D400" t="str">
        <x:v>CedarWorks</x:v>
      </x:c>
      <x:c r="E400" t="str">
        <x:v>amelia.martinez303@prospect.co</x:v>
      </x:c>
      <x:c r="F400" t="str">
        <x:v>(915) 650-5334</x:v>
      </x:c>
      <x:c r="G400" t="str">
        <x:v>CA</x:v>
      </x:c>
      <x:c r="H400" t="str">
        <x:v>Tradeshow</x:v>
      </x:c>
      <x:c r="I400" t="str">
        <x:v>Contact</x:v>
      </x:c>
      <x:c r="J400" t="str">
        <x:v>Taylor Morgan</x:v>
      </x:c>
      <x:c r="K400" s="6" t="n">
        <x:v>46033</x:v>
      </x:c>
      <x:c r="L400" s="6" t="n">
        <x:v>46081</x:v>
      </x:c>
      <x:c r="M400" s="6" t="n">
        <x:v>46092</x:v>
      </x:c>
      <x:c r="N400" s="8" t="n">
        <x:v>75400</x:v>
      </x:c>
      <x:c r="O400" t="str">
        <x:v>Financial Services</x:v>
      </x:c>
      <x:c r="P400" t="str">
        <x:v>No</x:v>
      </x:c>
      <x:c r="Q400" t="str">
        <x:v>No</x:v>
      </x:c>
      <x:c r="R400" s="6"/>
    </x:row>
    <x:row r="401">
      <x:c r="A401" t="str">
        <x:v>L-0400</x:v>
      </x:c>
      <x:c r="B401" t="str">
        <x:v>Lucas</x:v>
      </x:c>
      <x:c r="C401" t="str">
        <x:v>Miller</x:v>
      </x:c>
      <x:c r="D401" t="str">
        <x:v>REDSTONE CONSULTING</x:v>
      </x:c>
      <x:c r="E401" t="str">
        <x:v>lucas.miller530@examplebiz.com</x:v>
      </x:c>
      <x:c r="F401" t="str">
        <x:v>(687) 343-8655</x:v>
      </x:c>
      <x:c r="G401" t="str">
        <x:v>TX</x:v>
      </x:c>
      <x:c r="H401" t="str">
        <x:v>WEBINAR</x:v>
      </x:c>
      <x:c r="I401" t="str">
        <x:v>Contacted</x:v>
      </x:c>
      <x:c r="J401" t="str">
        <x:v> Jordan Lee </x:v>
      </x:c>
      <x:c r="K401" s="6" t="n">
        <x:v>46191</x:v>
      </x:c>
      <x:c r="L401" s="6" t="n">
        <x:v>46220</x:v>
      </x:c>
      <x:c r="M401" s="6" t="n">
        <x:v>46231</x:v>
      </x:c>
      <x:c r="N401" s="8" t="n">
        <x:v>5100</x:v>
      </x:c>
      <x:c r="O401" t="str">
        <x:v>Financial Services</x:v>
      </x:c>
      <x:c r="P401" t="str">
        <x:v>No</x:v>
      </x:c>
      <x:c r="Q401" t="str">
        <x:v>No</x:v>
      </x:c>
      <x:c r="R401" s="6"/>
    </x:row>
  </x:sheetData>
  <x:pageMargins left="0.7" right="0.7" top="0.75" bottom="0.75" header="0.3" footer="0.3"/>
  <x:tableParts count="1">
    <x:tablePart xmlns:r="http://schemas.openxmlformats.org/officeDocument/2006/relationships" r:id="Rf09e74eebec841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1.75" hidden="0" customWidth="1"/>
    <x:col min="3" max="3" width="11.5" hidden="0" customWidth="1"/>
    <x:col min="4" max="4" width="15.75" hidden="0" customWidth="1"/>
    <x:col min="5" max="5" width="32" hidden="0" customWidth="1"/>
    <x:col min="6" max="6" width="11.880000114440918" hidden="0" customWidth="1"/>
    <x:col min="7" max="7" width="7" hidden="0" customWidth="1"/>
    <x:col min="8" max="8" width="12.75" hidden="0" customWidth="1"/>
    <x:col min="9" max="9" width="12" hidden="0" customWidth="1"/>
    <x:col min="10" max="10" width="12.75" hidden="0" customWidth="1"/>
    <x:col min="11" max="11" width="13.5" hidden="0" customWidth="1"/>
    <x:col min="12" max="12" width="17.3799991607666" hidden="0" customWidth="1"/>
    <x:col min="13" max="13" width="19" hidden="0" customWidth="1"/>
    <x:col min="14" max="14" width="15.75" hidden="0" customWidth="1"/>
    <x:col min="15" max="15" width="16" hidden="0" customWidth="1"/>
    <x:col min="16" max="16" width="10" hidden="0" customWidth="1"/>
    <x:col min="17" max="17" width="10.880000114440918" hidden="0" customWidth="1"/>
    <x:col min="18" max="18" width="12.630000114440918" hidden="0" customWidth="1"/>
    <x:col min="19" max="19" width="14.25" hidden="0" customWidth="1"/>
    <x:col min="20" max="20" width="15" hidden="0" customWidth="1"/>
    <x:col min="21" max="21" width="19.5" hidden="0" customWidth="1"/>
    <x:col min="22" max="22" width="11.380000114440918" hidden="0" customWidth="1"/>
    <x:col min="23" max="23" width="17.5" hidden="0" customWidth="1"/>
    <x:col min="24" max="24" width="17.8799991607666" hidden="0" customWidth="1"/>
    <x:col min="25" max="25" width="15.25" hidden="0" customWidth="1"/>
  </x:cols>
  <x:sheetData>
    <x:row r="1">
      <x:c r="A1" s="11" t="str">
        <x:v>Lead_ID</x:v>
      </x:c>
      <x:c r="B1" s="11" t="str">
        <x:v>First_Name</x:v>
      </x:c>
      <x:c r="C1" s="11" t="str">
        <x:v>Last_Name</x:v>
      </x:c>
      <x:c r="D1" s="11" t="str">
        <x:v>Company</x:v>
      </x:c>
      <x:c r="E1" s="11" t="str">
        <x:v>Email</x:v>
      </x:c>
      <x:c r="F1" s="11" t="str">
        <x:v>Phone</x:v>
      </x:c>
      <x:c r="G1" s="11" t="str">
        <x:v>State</x:v>
      </x:c>
      <x:c r="H1" s="11" t="str">
        <x:v>Lead_Source</x:v>
      </x:c>
      <x:c r="I1" s="11" t="str">
        <x:v>Sales_Stage</x:v>
      </x:c>
      <x:c r="J1" s="11" t="str">
        <x:v>Lead_Owner</x:v>
      </x:c>
      <x:c r="K1" s="11" t="str">
        <x:v>Created_Date</x:v>
      </x:c>
      <x:c r="L1" s="11" t="str">
        <x:v>Last_Contact_Date</x:v>
      </x:c>
      <x:c r="M1" s="11" t="str">
        <x:v>Next_Followup_Date</x:v>
      </x:c>
      <x:c r="N1" s="11" t="str">
        <x:v>Estimated_Value</x:v>
      </x:c>
      <x:c r="O1" s="11" t="str">
        <x:v>Industry</x:v>
      </x:c>
      <x:c r="P1" s="11" t="str">
        <x:v>Qualified</x:v>
      </x:c>
      <x:c r="Q1" s="11" t="str">
        <x:v>Converted</x:v>
      </x:c>
      <x:c r="R1" s="11" t="str">
        <x:v>Closed_Date</x:v>
      </x:c>
      <x:c r="S1" s="11" t="str">
        <x:v>Duplicate_Flag</x:v>
      </x:c>
      <x:c r="T1" s="11" t="str">
        <x:v>Missing_Owner</x:v>
      </x:c>
      <x:c r="U1" s="11" t="str">
        <x:v>Missing_Contact_Info</x:v>
      </x:c>
      <x:c r="V1" s="11" t="str">
        <x:v>Stale_Lead</x:v>
      </x:c>
      <x:c r="W1" s="11" t="str">
        <x:v>Overdue_Followup</x:v>
      </x:c>
      <x:c r="X1" s="11" t="str">
        <x:v>Data_Quality_Issue</x:v>
      </x:c>
      <x:c r="Y1" s="11" t="str">
        <x:v>Primary_Record</x:v>
      </x:c>
    </x:row>
    <x:row r="2">
      <x:c r="A2" t="str">
        <x:v>L-0001</x:v>
      </x:c>
      <x:c r="B2" t="str">
        <x:v>Noah</x:v>
      </x:c>
      <x:c r="C2" t="str">
        <x:v>Smith</x:v>
      </x:c>
      <x:c r="D2" t="str">
        <x:v>Horizon Bio</x:v>
      </x:c>
      <x:c r="E2" t="str">
        <x:v>noah.smith31@northmail.com</x:v>
      </x:c>
      <x:c r="F2" t="str">
        <x:v>(424) 438-9279</x:v>
      </x:c>
      <x:c r="G2" t="str">
        <x:v>FL</x:v>
      </x:c>
      <x:c r="H2" t="str">
        <x:v>Website</x:v>
      </x:c>
      <x:c r="I2" t="str">
        <x:v>New</x:v>
      </x:c>
      <x:c r="J2" t="str">
        <x:v>Jordan Lee</x:v>
      </x:c>
      <x:c r="K2" s="6" t="n">
        <x:v>46057</x:v>
      </x:c>
      <x:c r="L2" s="6" t="n">
        <x:v>46196</x:v>
      </x:c>
      <x:c r="M2" s="6" t="n">
        <x:v>46201</x:v>
      </x:c>
      <x:c r="N2" s="8" t="n">
        <x:v>51200</x:v>
      </x:c>
      <x:c r="O2" t="str">
        <x:v>Retail</x:v>
      </x:c>
      <x:c r="P2" t="str">
        <x:v>No</x:v>
      </x:c>
      <x:c r="Q2" t="str">
        <x:v>No</x:v>
      </x:c>
      <x:c r="R2" s="6"/>
      <x:c r="S2" t="str">
        <x:f>IF(E2="","Unique",IF(COUNTIF($E$2:E2,E2)&gt;1,"Duplicate","Unique"))</x:f>
        <x:v>Unique</x:v>
      </x:c>
      <x:c r="T2" t="str">
        <x:f>IF(J2="Unassigned","Yes","No")</x:f>
        <x:v>No</x:v>
      </x:c>
      <x:c r="U2" t="str">
        <x:f>IF(AND(E2="",F2=""),"Yes","No")</x:f>
        <x:v>No</x:v>
      </x:c>
      <x:c r="V2" t="str">
        <x:f>IF(AND('Dashboard'!$B$2-L2&gt;30,I2&lt;&gt;"Closed Won",I2&lt;&gt;"Closed Lost"),"Yes","No")</x:f>
        <x:v>Yes</x:v>
      </x:c>
      <x:c r="W2" t="str">
        <x:f>IF(AND(M2&lt;&gt;"",M2&lt;'Dashboard'!$B$2,I2&lt;&gt;"Closed Won",I2&lt;&gt;"Closed Lost"),"Yes","No")</x:f>
        <x:v>Yes</x:v>
      </x:c>
      <x:c r="X2" t="str">
        <x:f>IF(OR(S2="Duplicate",T2="Yes",U2="Yes",D2="Unknown",W2="Yes"),"Yes","No")</x:f>
        <x:v>Yes</x:v>
      </x:c>
      <x:c r="Y2" t="n">
        <x:f>IF(S2="Duplicate",0,1)</x:f>
        <x:v>1</x:v>
      </x:c>
    </x:row>
    <x:row r="3">
      <x:c r="A3" t="str">
        <x:v>L-0002</x:v>
      </x:c>
      <x:c r="B3" t="str">
        <x:v>Olivia</x:v>
      </x:c>
      <x:c r="C3" t="str">
        <x:v>Wilson</x:v>
      </x:c>
      <x:c r="D3" t="str">
        <x:v>Summit Analytics</x:v>
      </x:c>
      <x:c r="E3" t="str">
        <x:v>olivia.wilson471@northmail.com</x:v>
      </x:c>
      <x:c r="F3" t="str">
        <x:v>(588) 280-5803</x:v>
      </x:c>
      <x:c r="G3" t="str">
        <x:v>AZ</x:v>
      </x:c>
      <x:c r="H3" t="str">
        <x:v>Website</x:v>
      </x:c>
      <x:c r="I3" t="str">
        <x:v>Closed Won</x:v>
      </x:c>
      <x:c r="J3" t="str">
        <x:v>Jamie Brooks</x:v>
      </x:c>
      <x:c r="K3" s="6" t="n">
        <x:v>46092</x:v>
      </x:c>
      <x:c r="L3" s="6" t="n">
        <x:v>46159</x:v>
      </x:c>
      <x:c r="M3" s="6"/>
      <x:c r="N3" s="8" t="n">
        <x:v>69100</x:v>
      </x:c>
      <x:c r="O3" t="str">
        <x:v>Technology</x:v>
      </x:c>
      <x:c r="P3" t="str">
        <x:v>Yes</x:v>
      </x:c>
      <x:c r="Q3" t="str">
        <x:v>Yes</x:v>
      </x:c>
      <x:c r="R3" s="6" t="n">
        <x:v>46159</x:v>
      </x:c>
      <x:c r="S3" t="str">
        <x:f>IF(E3="","Unique",IF(COUNTIF($E$2:E3,E3)&gt;1,"Duplicate","Unique"))</x:f>
        <x:v>Unique</x:v>
      </x:c>
      <x:c r="T3" t="str">
        <x:f>IF(J3="Unassigned","Yes","No")</x:f>
        <x:v>No</x:v>
      </x:c>
      <x:c r="U3" t="str">
        <x:f>IF(AND(E3="",F3=""),"Yes","No")</x:f>
        <x:v>No</x:v>
      </x:c>
      <x:c r="V3" t="str">
        <x:f>IF(AND('Dashboard'!$B$2-L3&gt;30,I3&lt;&gt;"Closed Won",I3&lt;&gt;"Closed Lost"),"Yes","No")</x:f>
        <x:v>No</x:v>
      </x:c>
      <x:c r="W3" t="str">
        <x:f>IF(AND(M3&lt;&gt;"",M3&lt;'Dashboard'!$B$2,I3&lt;&gt;"Closed Won",I3&lt;&gt;"Closed Lost"),"Yes","No")</x:f>
        <x:v>No</x:v>
      </x:c>
      <x:c r="X3" t="str">
        <x:f>IF(OR(S3="Duplicate",T3="Yes",U3="Yes",D3="Unknown",W3="Yes"),"Yes","No")</x:f>
        <x:v>No</x:v>
      </x:c>
      <x:c r="Y3" t="n">
        <x:f>IF(S3="Duplicate",0,1)</x:f>
        <x:v>1</x:v>
      </x:c>
    </x:row>
    <x:row r="4">
      <x:c r="A4" t="str">
        <x:v>L-0003</x:v>
      </x:c>
      <x:c r="B4" t="str">
        <x:v>Logan</x:v>
      </x:c>
      <x:c r="C4" t="str">
        <x:v>Garcia</x:v>
      </x:c>
      <x:c r="D4" t="str">
        <x:v>Pioneer Tech</x:v>
      </x:c>
      <x:c r="E4" t="str">
        <x:v>logan.garcia547@examplebiz.com</x:v>
      </x:c>
      <x:c r="F4" t="str">
        <x:v>(368) 673-7216</x:v>
      </x:c>
      <x:c r="G4" t="str">
        <x:v>FL</x:v>
      </x:c>
      <x:c r="H4" t="str">
        <x:v>LinkedIn</x:v>
      </x:c>
      <x:c r="I4" t="str">
        <x:v>Opportunity</x:v>
      </x:c>
      <x:c r="J4" t="str">
        <x:v>Taylor Morgan</x:v>
      </x:c>
      <x:c r="K4" s="6" t="n">
        <x:v>46072</x:v>
      </x:c>
      <x:c r="L4" s="6" t="n">
        <x:v>46237</x:v>
      </x:c>
      <x:c r="M4" s="6" t="n">
        <x:v>46242</x:v>
      </x:c>
      <x:c r="N4" s="8" t="n">
        <x:v>52800</x:v>
      </x:c>
      <x:c r="O4" t="str">
        <x:v>Biotech</x:v>
      </x:c>
      <x:c r="P4" t="str">
        <x:v>Yes</x:v>
      </x:c>
      <x:c r="Q4" t="str">
        <x:v>No</x:v>
      </x:c>
      <x:c r="R4" s="6"/>
      <x:c r="S4" t="str">
        <x:f>IF(E4="","Unique",IF(COUNTIF($E$2:E4,E4)&gt;1,"Duplicate","Unique"))</x:f>
        <x:v>Unique</x:v>
      </x:c>
      <x:c r="T4" t="str">
        <x:f>IF(J4="Unassigned","Yes","No")</x:f>
        <x:v>No</x:v>
      </x:c>
      <x:c r="U4" t="str">
        <x:f>IF(AND(E4="",F4=""),"Yes","No")</x:f>
        <x:v>No</x:v>
      </x:c>
      <x:c r="V4" t="str">
        <x:f>IF(AND('Dashboard'!$B$2-L4&gt;30,I4&lt;&gt;"Closed Won",I4&lt;&gt;"Closed Lost"),"Yes","No")</x:f>
        <x:v>No</x:v>
      </x:c>
      <x:c r="W4" t="str">
        <x:f>IF(AND(M4&lt;&gt;"",M4&lt;'Dashboard'!$B$2,I4&lt;&gt;"Closed Won",I4&lt;&gt;"Closed Lost"),"Yes","No")</x:f>
        <x:v>Yes</x:v>
      </x:c>
      <x:c r="X4" t="str">
        <x:f>IF(OR(S4="Duplicate",T4="Yes",U4="Yes",D4="Unknown",W4="Yes"),"Yes","No")</x:f>
        <x:v>Yes</x:v>
      </x:c>
      <x:c r="Y4" t="n">
        <x:f>IF(S4="Duplicate",0,1)</x:f>
        <x:v>1</x:v>
      </x:c>
    </x:row>
    <x:row r="5">
      <x:c r="A5" t="str">
        <x:v>L-0004</x:v>
      </x:c>
      <x:c r="B5" t="str">
        <x:v>Luna</x:v>
      </x:c>
      <x:c r="C5" t="str">
        <x:v>Wilson</x:v>
      </x:c>
      <x:c r="D5" t="str">
        <x:v>Apex Manufacturing</x:v>
      </x:c>
      <x:c r="E5" t="str">
        <x:v>luna.wilson552@prospect.co</x:v>
      </x:c>
      <x:c r="F5" t="str">
        <x:v>(965) 798-8019</x:v>
      </x:c>
      <x:c r="G5" t="str">
        <x:v>AZ</x:v>
      </x:c>
      <x:c r="H5" t="str">
        <x:v>Email Campaign</x:v>
      </x:c>
      <x:c r="I5" t="str">
        <x:v>Opportunity</x:v>
      </x:c>
      <x:c r="J5" t="str">
        <x:v>Alex Kim</x:v>
      </x:c>
      <x:c r="K5" s="6" t="n">
        <x:v>46210</x:v>
      </x:c>
      <x:c r="L5" s="6" t="n">
        <x:v>46226</x:v>
      </x:c>
      <x:c r="M5" s="6" t="n">
        <x:v>46233</x:v>
      </x:c>
      <x:c r="N5" s="8" t="n">
        <x:v>22800</x:v>
      </x:c>
      <x:c r="O5" t="str">
        <x:v>Logistics</x:v>
      </x:c>
      <x:c r="P5" t="str">
        <x:v>Yes</x:v>
      </x:c>
      <x:c r="Q5" t="str">
        <x:v>No</x:v>
      </x:c>
      <x:c r="R5" s="6"/>
      <x:c r="S5" t="str">
        <x:f>IF(E5="","Unique",IF(COUNTIF($E$2:E5,E5)&gt;1,"Duplicate","Unique"))</x:f>
        <x:v>Unique</x:v>
      </x:c>
      <x:c r="T5" t="str">
        <x:f>IF(J5="Unassigned","Yes","No")</x:f>
        <x:v>No</x:v>
      </x:c>
      <x:c r="U5" t="str">
        <x:f>IF(AND(E5="",F5=""),"Yes","No")</x:f>
        <x:v>No</x:v>
      </x:c>
      <x:c r="V5" t="str">
        <x:f>IF(AND('Dashboard'!$B$2-L5&gt;30,I5&lt;&gt;"Closed Won",I5&lt;&gt;"Closed Lost"),"Yes","No")</x:f>
        <x:v>No</x:v>
      </x:c>
      <x:c r="W5" t="str">
        <x:f>IF(AND(M5&lt;&gt;"",M5&lt;'Dashboard'!$B$2,I5&lt;&gt;"Closed Won",I5&lt;&gt;"Closed Lost"),"Yes","No")</x:f>
        <x:v>Yes</x:v>
      </x:c>
      <x:c r="X5" t="str">
        <x:f>IF(OR(S5="Duplicate",T5="Yes",U5="Yes",D5="Unknown",W5="Yes"),"Yes","No")</x:f>
        <x:v>Yes</x:v>
      </x:c>
      <x:c r="Y5" t="n">
        <x:f>IF(S5="Duplicate",0,1)</x:f>
        <x:v>1</x:v>
      </x:c>
    </x:row>
    <x:row r="6">
      <x:c r="A6" t="str">
        <x:v>L-0005</x:v>
      </x:c>
      <x:c r="B6" t="str">
        <x:v>Amelia</x:v>
      </x:c>
      <x:c r="C6" t="str">
        <x:v>Thompson</x:v>
      </x:c>
      <x:c r="D6" t="str">
        <x:v>Prairie Health</x:v>
      </x:c>
      <x:c r="E6" t="str">
        <x:v>amelia.thompson788@prospect.co</x:v>
      </x:c>
      <x:c r="F6" t="str">
        <x:v>(315) 500-8123</x:v>
      </x:c>
      <x:c r="G6" t="str">
        <x:v>GA</x:v>
      </x:c>
      <x:c r="H6" t="str">
        <x:v>Email Campaign</x:v>
      </x:c>
      <x:c r="I6" t="str">
        <x:v>New</x:v>
      </x:c>
      <x:c r="J6" t="str">
        <x:v>Unassigned</x:v>
      </x:c>
      <x:c r="K6" s="6" t="n">
        <x:v>46062</x:v>
      </x:c>
      <x:c r="L6" s="6" t="n">
        <x:v>46091</x:v>
      </x:c>
      <x:c r="M6" s="6" t="n">
        <x:v>46115</x:v>
      </x:c>
      <x:c r="N6" s="8" t="n">
        <x:v>75500</x:v>
      </x:c>
      <x:c r="O6" t="str">
        <x:v>Financial Services</x:v>
      </x:c>
      <x:c r="P6" t="str">
        <x:v>No</x:v>
      </x:c>
      <x:c r="Q6" t="str">
        <x:v>No</x:v>
      </x:c>
      <x:c r="R6" s="6"/>
      <x:c r="S6" t="str">
        <x:f>IF(E6="","Unique",IF(COUNTIF($E$2:E6,E6)&gt;1,"Duplicate","Unique"))</x:f>
        <x:v>Unique</x:v>
      </x:c>
      <x:c r="T6" t="str">
        <x:f>IF(J6="Unassigned","Yes","No")</x:f>
        <x:v>Yes</x:v>
      </x:c>
      <x:c r="U6" t="str">
        <x:f>IF(AND(E6="",F6=""),"Yes","No")</x:f>
        <x:v>No</x:v>
      </x:c>
      <x:c r="V6" t="str">
        <x:f>IF(AND('Dashboard'!$B$2-L6&gt;30,I6&lt;&gt;"Closed Won",I6&lt;&gt;"Closed Lost"),"Yes","No")</x:f>
        <x:v>Yes</x:v>
      </x:c>
      <x:c r="W6" t="str">
        <x:f>IF(AND(M6&lt;&gt;"",M6&lt;'Dashboard'!$B$2,I6&lt;&gt;"Closed Won",I6&lt;&gt;"Closed Lost"),"Yes","No")</x:f>
        <x:v>Yes</x:v>
      </x:c>
      <x:c r="X6" t="str">
        <x:f>IF(OR(S6="Duplicate",T6="Yes",U6="Yes",D6="Unknown",W6="Yes"),"Yes","No")</x:f>
        <x:v>Yes</x:v>
      </x:c>
      <x:c r="Y6" t="n">
        <x:f>IF(S6="Duplicate",0,1)</x:f>
        <x:v>1</x:v>
      </x:c>
    </x:row>
    <x:row r="7">
      <x:c r="A7" t="str">
        <x:v>L-0006</x:v>
      </x:c>
      <x:c r="B7" t="str">
        <x:v>Logan</x:v>
      </x:c>
      <x:c r="C7" t="str">
        <x:v>Garcia</x:v>
      </x:c>
      <x:c r="D7" t="str">
        <x:v>Northstar Labs</x:v>
      </x:c>
      <x:c r="E7" t="str">
        <x:v>logan.garcia247@northmail.com</x:v>
      </x:c>
      <x:c r="F7" t="str">
        <x:v>(288) 949-8962</x:v>
      </x:c>
      <x:c r="G7" t="str">
        <x:v>NC</x:v>
      </x:c>
      <x:c r="H7" t="str">
        <x:v>Website</x:v>
      </x:c>
      <x:c r="I7" t="str">
        <x:v>Closed Lost</x:v>
      </x:c>
      <x:c r="J7" t="str">
        <x:v>Jordan Lee</x:v>
      </x:c>
      <x:c r="K7" s="6" t="n">
        <x:v>46034</x:v>
      </x:c>
      <x:c r="L7" s="6" t="n">
        <x:v>46240</x:v>
      </x:c>
      <x:c r="M7" s="6"/>
      <x:c r="N7" s="8" t="n">
        <x:v>27900</x:v>
      </x:c>
      <x:c r="O7" t="str">
        <x:v>Biotech</x:v>
      </x:c>
      <x:c r="P7" t="str">
        <x:v>Yes</x:v>
      </x:c>
      <x:c r="Q7" t="str">
        <x:v>No</x:v>
      </x:c>
      <x:c r="R7" s="6" t="n">
        <x:v>46248</x:v>
      </x:c>
      <x:c r="S7" t="str">
        <x:f>IF(E7="","Unique",IF(COUNTIF($E$2:E7,E7)&gt;1,"Duplicate","Unique"))</x:f>
        <x:v>Unique</x:v>
      </x:c>
      <x:c r="T7" t="str">
        <x:f>IF(J7="Unassigned","Yes","No")</x:f>
        <x:v>No</x:v>
      </x:c>
      <x:c r="U7" t="str">
        <x:f>IF(AND(E7="",F7=""),"Yes","No")</x:f>
        <x:v>No</x:v>
      </x:c>
      <x:c r="V7" t="str">
        <x:f>IF(AND('Dashboard'!$B$2-L7&gt;30,I7&lt;&gt;"Closed Won",I7&lt;&gt;"Closed Lost"),"Yes","No")</x:f>
        <x:v>No</x:v>
      </x:c>
      <x:c r="W7" t="str">
        <x:f>IF(AND(M7&lt;&gt;"",M7&lt;'Dashboard'!$B$2,I7&lt;&gt;"Closed Won",I7&lt;&gt;"Closed Lost"),"Yes","No")</x:f>
        <x:v>No</x:v>
      </x:c>
      <x:c r="X7" t="str">
        <x:f>IF(OR(S7="Duplicate",T7="Yes",U7="Yes",D7="Unknown",W7="Yes"),"Yes","No")</x:f>
        <x:v>No</x:v>
      </x:c>
      <x:c r="Y7" t="n">
        <x:f>IF(S7="Duplicate",0,1)</x:f>
        <x:v>1</x:v>
      </x:c>
    </x:row>
    <x:row r="8">
      <x:c r="A8" t="str">
        <x:v>L-0007</x:v>
      </x:c>
      <x:c r="B8" t="str">
        <x:v>Logan</x:v>
      </x:c>
      <x:c r="C8" t="str">
        <x:v>Moore</x:v>
      </x:c>
      <x:c r="D8" t="str">
        <x:v>Prairie Health</x:v>
      </x:c>
      <x:c r="E8" t="str">
        <x:v>logan.moore73@northmail.com</x:v>
      </x:c>
      <x:c r="F8" t="str">
        <x:v>(435) 269-1514</x:v>
      </x:c>
      <x:c r="G8" t="str">
        <x:v>FL</x:v>
      </x:c>
      <x:c r="H8" t="str">
        <x:v>Website</x:v>
      </x:c>
      <x:c r="I8" t="str">
        <x:v>Contacted</x:v>
      </x:c>
      <x:c r="J8" t="str">
        <x:v>Jordan Lee</x:v>
      </x:c>
      <x:c r="K8" s="6" t="n">
        <x:v>46096</x:v>
      </x:c>
      <x:c r="L8" s="6" t="n">
        <x:v>46237</x:v>
      </x:c>
      <x:c r="M8" s="6" t="n">
        <x:v>46247</x:v>
      </x:c>
      <x:c r="N8" s="8" t="n">
        <x:v>51000</x:v>
      </x:c>
      <x:c r="O8" t="str">
        <x:v>Technology</x:v>
      </x:c>
      <x:c r="P8" t="str">
        <x:v>No</x:v>
      </x:c>
      <x:c r="Q8" t="str">
        <x:v>No</x:v>
      </x:c>
      <x:c r="R8" s="6"/>
      <x:c r="S8" t="str">
        <x:f>IF(E8="","Unique",IF(COUNTIF($E$2:E8,E8)&gt;1,"Duplicate","Unique"))</x:f>
        <x:v>Unique</x:v>
      </x:c>
      <x:c r="T8" t="str">
        <x:f>IF(J8="Unassigned","Yes","No")</x:f>
        <x:v>No</x:v>
      </x:c>
      <x:c r="U8" t="str">
        <x:f>IF(AND(E8="",F8=""),"Yes","No")</x:f>
        <x:v>No</x:v>
      </x:c>
      <x:c r="V8" t="str">
        <x:f>IF(AND('Dashboard'!$B$2-L8&gt;30,I8&lt;&gt;"Closed Won",I8&lt;&gt;"Closed Lost"),"Yes","No")</x:f>
        <x:v>No</x:v>
      </x:c>
      <x:c r="W8" t="str">
        <x:f>IF(AND(M8&lt;&gt;"",M8&lt;'Dashboard'!$B$2,I8&lt;&gt;"Closed Won",I8&lt;&gt;"Closed Lost"),"Yes","No")</x:f>
        <x:v>Yes</x:v>
      </x:c>
      <x:c r="X8" t="str">
        <x:f>IF(OR(S8="Duplicate",T8="Yes",U8="Yes",D8="Unknown",W8="Yes"),"Yes","No")</x:f>
        <x:v>Yes</x:v>
      </x:c>
      <x:c r="Y8" t="n">
        <x:f>IF(S8="Duplicate",0,1)</x:f>
        <x:v>1</x:v>
      </x:c>
    </x:row>
    <x:row r="9">
      <x:c r="A9" t="str">
        <x:v>L-0008</x:v>
      </x:c>
      <x:c r="B9" t="str">
        <x:v>James</x:v>
      </x:c>
      <x:c r="C9" t="str">
        <x:v>Anderson</x:v>
      </x:c>
      <x:c r="D9" t="str">
        <x:v>Vertex Solutions</x:v>
      </x:c>
      <x:c r="E9" t="str">
        <x:v>james.anderson348@northmail.com</x:v>
      </x:c>
      <x:c r="F9" t="str">
        <x:v>(455) 396-4116</x:v>
      </x:c>
      <x:c r="G9" t="str">
        <x:v>NC</x:v>
      </x:c>
      <x:c r="H9" t="str">
        <x:v>Email Campaign</x:v>
      </x:c>
      <x:c r="I9" t="str">
        <x:v>New</x:v>
      </x:c>
      <x:c r="J9" t="str">
        <x:v>Jamie Brooks</x:v>
      </x:c>
      <x:c r="K9" s="6" t="n">
        <x:v>46079</x:v>
      </x:c>
      <x:c r="L9" s="6" t="n">
        <x:v>46244</x:v>
      </x:c>
      <x:c r="M9" s="6" t="n">
        <x:v>46250</x:v>
      </x:c>
      <x:c r="N9" s="8" t="n">
        <x:v>7500</x:v>
      </x:c>
      <x:c r="O9" t="str">
        <x:v>Professional Services</x:v>
      </x:c>
      <x:c r="P9" t="str">
        <x:v>No</x:v>
      </x:c>
      <x:c r="Q9" t="str">
        <x:v>No</x:v>
      </x:c>
      <x:c r="R9" s="6"/>
      <x:c r="S9" t="str">
        <x:f>IF(E9="","Unique",IF(COUNTIF($E$2:E9,E9)&gt;1,"Duplicate","Unique"))</x:f>
        <x:v>Unique</x:v>
      </x:c>
      <x:c r="T9" t="str">
        <x:f>IF(J9="Unassigned","Yes","No")</x:f>
        <x:v>No</x:v>
      </x:c>
      <x:c r="U9" t="str">
        <x:f>IF(AND(E9="",F9=""),"Yes","No")</x:f>
        <x:v>No</x:v>
      </x:c>
      <x:c r="V9" t="str">
        <x:f>IF(AND('Dashboard'!$B$2-L9&gt;30,I9&lt;&gt;"Closed Won",I9&lt;&gt;"Closed Lost"),"Yes","No")</x:f>
        <x:v>No</x:v>
      </x:c>
      <x:c r="W9" t="str">
        <x:f>IF(AND(M9&lt;&gt;"",M9&lt;'Dashboard'!$B$2,I9&lt;&gt;"Closed Won",I9&lt;&gt;"Closed Lost"),"Yes","No")</x:f>
        <x:v>Yes</x:v>
      </x:c>
      <x:c r="X9" t="str">
        <x:f>IF(OR(S9="Duplicate",T9="Yes",U9="Yes",D9="Unknown",W9="Yes"),"Yes","No")</x:f>
        <x:v>Yes</x:v>
      </x:c>
      <x:c r="Y9" t="n">
        <x:f>IF(S9="Duplicate",0,1)</x:f>
        <x:v>1</x:v>
      </x:c>
    </x:row>
    <x:row r="10">
      <x:c r="A10" t="str">
        <x:v>L-0009</x:v>
      </x:c>
      <x:c r="B10" t="str">
        <x:v>Mason</x:v>
      </x:c>
      <x:c r="C10" t="str">
        <x:v>Garcia</x:v>
      </x:c>
      <x:c r="D10" t="str">
        <x:v>Vertex Solutions</x:v>
      </x:c>
      <x:c r="E10" t="str">
        <x:v>mason.garcia272@mailhub.net</x:v>
      </x:c>
      <x:c r="F10" t="str">
        <x:v>(493) 633-8973</x:v>
      </x:c>
      <x:c r="G10" t="str">
        <x:v>NC</x:v>
      </x:c>
      <x:c r="H10" t="str">
        <x:v>Website</x:v>
      </x:c>
      <x:c r="I10" t="str">
        <x:v>Contacted</x:v>
      </x:c>
      <x:c r="J10" t="str">
        <x:v>Morgan Reed</x:v>
      </x:c>
      <x:c r="K10" s="6" t="n">
        <x:v>46231</x:v>
      </x:c>
      <x:c r="L10" s="6" t="n">
        <x:v>46236</x:v>
      </x:c>
      <x:c r="M10" s="6" t="n">
        <x:v>46251</x:v>
      </x:c>
      <x:c r="N10" s="8" t="n">
        <x:v>2700</x:v>
      </x:c>
      <x:c r="O10" t="str">
        <x:v>Logistics</x:v>
      </x:c>
      <x:c r="P10" t="str">
        <x:v>No</x:v>
      </x:c>
      <x:c r="Q10" t="str">
        <x:v>No</x:v>
      </x:c>
      <x:c r="R10" s="6"/>
      <x:c r="S10" t="str">
        <x:f>IF(E10="","Unique",IF(COUNTIF($E$2:E10,E10)&gt;1,"Duplicate","Unique"))</x:f>
        <x:v>Unique</x:v>
      </x:c>
      <x:c r="T10" t="str">
        <x:f>IF(J10="Unassigned","Yes","No")</x:f>
        <x:v>No</x:v>
      </x:c>
      <x:c r="U10" t="str">
        <x:f>IF(AND(E10="",F10=""),"Yes","No")</x:f>
        <x:v>No</x:v>
      </x:c>
      <x:c r="V10" t="str">
        <x:f>IF(AND('Dashboard'!$B$2-L10&gt;30,I10&lt;&gt;"Closed Won",I10&lt;&gt;"Closed Lost"),"Yes","No")</x:f>
        <x:v>No</x:v>
      </x:c>
      <x:c r="W10" t="str">
        <x:f>IF(AND(M10&lt;&gt;"",M10&lt;'Dashboard'!$B$2,I10&lt;&gt;"Closed Won",I10&lt;&gt;"Closed Lost"),"Yes","No")</x:f>
        <x:v>No</x:v>
      </x:c>
      <x:c r="X10" t="str">
        <x:f>IF(OR(S10="Duplicate",T10="Yes",U10="Yes",D10="Unknown",W10="Yes"),"Yes","No")</x:f>
        <x:v>No</x:v>
      </x:c>
      <x:c r="Y10" t="n">
        <x:f>IF(S10="Duplicate",0,1)</x:f>
        <x:v>1</x:v>
      </x:c>
    </x:row>
    <x:row r="11">
      <x:c r="A11" t="str">
        <x:v>L-0010</x:v>
      </x:c>
      <x:c r="B11" t="str">
        <x:v>Mia</x:v>
      </x:c>
      <x:c r="C11" t="str">
        <x:v>Garcia</x:v>
      </x:c>
      <x:c r="D11" t="str">
        <x:v>Brightpath Health</x:v>
      </x:c>
      <x:c r="E11" t="str">
        <x:v>mia.garcia84@mailhub.net</x:v>
      </x:c>
      <x:c r="F11" t="str">
        <x:v>(874) 797-9565</x:v>
      </x:c>
      <x:c r="G11" t="str">
        <x:v>OH</x:v>
      </x:c>
      <x:c r="H11" t="str">
        <x:v>Email Campaign</x:v>
      </x:c>
      <x:c r="I11" t="str">
        <x:v>Contacted</x:v>
      </x:c>
      <x:c r="J11" t="str">
        <x:v>Alex Kim</x:v>
      </x:c>
      <x:c r="K11" s="6" t="n">
        <x:v>46101</x:v>
      </x:c>
      <x:c r="L11" s="6" t="n">
        <x:v>46164</x:v>
      </x:c>
      <x:c r="M11" s="6" t="n">
        <x:v>46185</x:v>
      </x:c>
      <x:c r="N11" s="8" t="n">
        <x:v>51500</x:v>
      </x:c>
      <x:c r="O11" t="str">
        <x:v>Technology</x:v>
      </x:c>
      <x:c r="P11" t="str">
        <x:v>No</x:v>
      </x:c>
      <x:c r="Q11" t="str">
        <x:v>No</x:v>
      </x:c>
      <x:c r="R11" s="6"/>
      <x:c r="S11" t="str">
        <x:f>IF(E11="","Unique",IF(COUNTIF($E$2:E11,E11)&gt;1,"Duplicate","Unique"))</x:f>
        <x:v>Unique</x:v>
      </x:c>
      <x:c r="T11" t="str">
        <x:f>IF(J11="Unassigned","Yes","No")</x:f>
        <x:v>No</x:v>
      </x:c>
      <x:c r="U11" t="str">
        <x:f>IF(AND(E11="",F11=""),"Yes","No")</x:f>
        <x:v>No</x:v>
      </x:c>
      <x:c r="V11" t="str">
        <x:f>IF(AND('Dashboard'!$B$2-L11&gt;30,I11&lt;&gt;"Closed Won",I11&lt;&gt;"Closed Lost"),"Yes","No")</x:f>
        <x:v>Yes</x:v>
      </x:c>
      <x:c r="W11" t="str">
        <x:f>IF(AND(M11&lt;&gt;"",M11&lt;'Dashboard'!$B$2,I11&lt;&gt;"Closed Won",I11&lt;&gt;"Closed Lost"),"Yes","No")</x:f>
        <x:v>Yes</x:v>
      </x:c>
      <x:c r="X11" t="str">
        <x:f>IF(OR(S11="Duplicate",T11="Yes",U11="Yes",D11="Unknown",W11="Yes"),"Yes","No")</x:f>
        <x:v>Yes</x:v>
      </x:c>
      <x:c r="Y11" t="n">
        <x:f>IF(S11="Duplicate",0,1)</x:f>
        <x:v>1</x:v>
      </x:c>
    </x:row>
    <x:row r="12">
      <x:c r="A12" t="str">
        <x:v>L-0011</x:v>
      </x:c>
      <x:c r="B12" t="str">
        <x:v>Luna</x:v>
      </x:c>
      <x:c r="C12" t="str">
        <x:v>Brown</x:v>
      </x:c>
      <x:c r="D12" t="str">
        <x:v>Unknown</x:v>
      </x:c>
      <x:c r="E12" t="str">
        <x:v>luna.brown449@prospect.co</x:v>
      </x:c>
      <x:c r="F12" t="str">
        <x:v>(827) 869-9666</x:v>
      </x:c>
      <x:c r="G12" t="str">
        <x:v>GA</x:v>
      </x:c>
      <x:c r="H12" t="str">
        <x:v>Referral</x:v>
      </x:c>
      <x:c r="I12" t="str">
        <x:v>Closed Lost</x:v>
      </x:c>
      <x:c r="J12" t="str">
        <x:v>Taylor Morgan</x:v>
      </x:c>
      <x:c r="K12" s="6" t="n">
        <x:v>46229</x:v>
      </x:c>
      <x:c r="L12" s="6" t="n">
        <x:v>46236</x:v>
      </x:c>
      <x:c r="M12" s="6"/>
      <x:c r="N12" s="8" t="n">
        <x:v>33000</x:v>
      </x:c>
      <x:c r="O12" t="str">
        <x:v>Retail</x:v>
      </x:c>
      <x:c r="P12" t="str">
        <x:v>Yes</x:v>
      </x:c>
      <x:c r="Q12" t="str">
        <x:v>No</x:v>
      </x:c>
      <x:c r="R12" s="6" t="n">
        <x:v>46238</x:v>
      </x:c>
      <x:c r="S12" t="str">
        <x:f>IF(E12="","Unique",IF(COUNTIF($E$2:E12,E12)&gt;1,"Duplicate","Unique"))</x:f>
        <x:v>Unique</x:v>
      </x:c>
      <x:c r="T12" t="str">
        <x:f>IF(J12="Unassigned","Yes","No")</x:f>
        <x:v>No</x:v>
      </x:c>
      <x:c r="U12" t="str">
        <x:f>IF(AND(E12="",F12=""),"Yes","No")</x:f>
        <x:v>No</x:v>
      </x:c>
      <x:c r="V12" t="str">
        <x:f>IF(AND('Dashboard'!$B$2-L12&gt;30,I12&lt;&gt;"Closed Won",I12&lt;&gt;"Closed Lost"),"Yes","No")</x:f>
        <x:v>No</x:v>
      </x:c>
      <x:c r="W12" t="str">
        <x:f>IF(AND(M12&lt;&gt;"",M12&lt;'Dashboard'!$B$2,I12&lt;&gt;"Closed Won",I12&lt;&gt;"Closed Lost"),"Yes","No")</x:f>
        <x:v>No</x:v>
      </x:c>
      <x:c r="X12" t="str">
        <x:f>IF(OR(S12="Duplicate",T12="Yes",U12="Yes",D12="Unknown",W12="Yes"),"Yes","No")</x:f>
        <x:v>Yes</x:v>
      </x:c>
      <x:c r="Y12" t="n">
        <x:f>IF(S12="Duplicate",0,1)</x:f>
        <x:v>1</x:v>
      </x:c>
    </x:row>
    <x:row r="13">
      <x:c r="A13" t="str">
        <x:v>L-0012</x:v>
      </x:c>
      <x:c r="B13" t="str">
        <x:v>Olivia</x:v>
      </x:c>
      <x:c r="C13" t="str">
        <x:v>Rodriguez</x:v>
      </x:c>
      <x:c r="D13" t="str">
        <x:v>Atlas Commerce</x:v>
      </x:c>
      <x:c r="E13" t="str"/>
      <x:c r="F13" t="str">
        <x:v>(366) 959-8239</x:v>
      </x:c>
      <x:c r="G13" t="str">
        <x:v>CO</x:v>
      </x:c>
      <x:c r="H13" t="str">
        <x:v>Website</x:v>
      </x:c>
      <x:c r="I13" t="str">
        <x:v>Qualified</x:v>
      </x:c>
      <x:c r="J13" t="str">
        <x:v>Taylor Morgan</x:v>
      </x:c>
      <x:c r="K13" s="6" t="n">
        <x:v>46176</x:v>
      </x:c>
      <x:c r="L13" s="6" t="n">
        <x:v>46181</x:v>
      </x:c>
      <x:c r="M13" s="6" t="n">
        <x:v>46184</x:v>
      </x:c>
      <x:c r="N13" s="8" t="n">
        <x:v>30000</x:v>
      </x:c>
      <x:c r="O13" t="str">
        <x:v>Financial Services</x:v>
      </x:c>
      <x:c r="P13" t="str">
        <x:v>Yes</x:v>
      </x:c>
      <x:c r="Q13" t="str">
        <x:v>No</x:v>
      </x:c>
      <x:c r="R13" s="6"/>
      <x:c r="S13" t="str">
        <x:f>IF(E13="","Unique",IF(COUNTIF($E$2:E13,E13)&gt;1,"Duplicate","Unique"))</x:f>
        <x:v>Unique</x:v>
      </x:c>
      <x:c r="T13" t="str">
        <x:f>IF(J13="Unassigned","Yes","No")</x:f>
        <x:v>No</x:v>
      </x:c>
      <x:c r="U13" t="str">
        <x:f>IF(AND(E13="",F13=""),"Yes","No")</x:f>
        <x:v>No</x:v>
      </x:c>
      <x:c r="V13" t="str">
        <x:f>IF(AND('Dashboard'!$B$2-L13&gt;30,I13&lt;&gt;"Closed Won",I13&lt;&gt;"Closed Lost"),"Yes","No")</x:f>
        <x:v>Yes</x:v>
      </x:c>
      <x:c r="W13" t="str">
        <x:f>IF(AND(M13&lt;&gt;"",M13&lt;'Dashboard'!$B$2,I13&lt;&gt;"Closed Won",I13&lt;&gt;"Closed Lost"),"Yes","No")</x:f>
        <x:v>Yes</x:v>
      </x:c>
      <x:c r="X13" t="str">
        <x:f>IF(OR(S13="Duplicate",T13="Yes",U13="Yes",D13="Unknown",W13="Yes"),"Yes","No")</x:f>
        <x:v>Yes</x:v>
      </x:c>
      <x:c r="Y13" t="n">
        <x:f>IF(S13="Duplicate",0,1)</x:f>
        <x:v>1</x:v>
      </x:c>
    </x:row>
    <x:row r="14">
      <x:c r="A14" t="str">
        <x:v>L-0013</x:v>
      </x:c>
      <x:c r="B14" t="str">
        <x:v>Lucas</x:v>
      </x:c>
      <x:c r="C14" t="str">
        <x:v>Anderson</x:v>
      </x:c>
      <x:c r="D14" t="str">
        <x:v>Unknown</x:v>
      </x:c>
      <x:c r="E14" t="str">
        <x:v>lucas.anderson159@examplebiz.com</x:v>
      </x:c>
      <x:c r="F14" t="str">
        <x:v>(367) 381-7755</x:v>
      </x:c>
      <x:c r="G14" t="str">
        <x:v>FL</x:v>
      </x:c>
      <x:c r="H14" t="str">
        <x:v>LinkedIn</x:v>
      </x:c>
      <x:c r="I14" t="str">
        <x:v>Opportunity</x:v>
      </x:c>
      <x:c r="J14" t="str">
        <x:v>Jamie Brooks</x:v>
      </x:c>
      <x:c r="K14" s="6" t="n">
        <x:v>46156</x:v>
      </x:c>
      <x:c r="L14" s="6" t="n">
        <x:v>46227</x:v>
      </x:c>
      <x:c r="M14" s="6" t="n">
        <x:v>46243</x:v>
      </x:c>
      <x:c r="N14" s="8" t="n">
        <x:v>82800</x:v>
      </x:c>
      <x:c r="O14" t="str">
        <x:v>Biotech</x:v>
      </x:c>
      <x:c r="P14" t="str">
        <x:v>Yes</x:v>
      </x:c>
      <x:c r="Q14" t="str">
        <x:v>No</x:v>
      </x:c>
      <x:c r="R14" s="6"/>
      <x:c r="S14" t="str">
        <x:f>IF(E14="","Unique",IF(COUNTIF($E$2:E14,E14)&gt;1,"Duplicate","Unique"))</x:f>
        <x:v>Unique</x:v>
      </x:c>
      <x:c r="T14" t="str">
        <x:f>IF(J14="Unassigned","Yes","No")</x:f>
        <x:v>No</x:v>
      </x:c>
      <x:c r="U14" t="str">
        <x:f>IF(AND(E14="",F14=""),"Yes","No")</x:f>
        <x:v>No</x:v>
      </x:c>
      <x:c r="V14" t="str">
        <x:f>IF(AND('Dashboard'!$B$2-L14&gt;30,I14&lt;&gt;"Closed Won",I14&lt;&gt;"Closed Lost"),"Yes","No")</x:f>
        <x:v>No</x:v>
      </x:c>
      <x:c r="W14" t="str">
        <x:f>IF(AND(M14&lt;&gt;"",M14&lt;'Dashboard'!$B$2,I14&lt;&gt;"Closed Won",I14&lt;&gt;"Closed Lost"),"Yes","No")</x:f>
        <x:v>Yes</x:v>
      </x:c>
      <x:c r="X14" t="str">
        <x:f>IF(OR(S14="Duplicate",T14="Yes",U14="Yes",D14="Unknown",W14="Yes"),"Yes","No")</x:f>
        <x:v>Yes</x:v>
      </x:c>
      <x:c r="Y14" t="n">
        <x:f>IF(S14="Duplicate",0,1)</x:f>
        <x:v>1</x:v>
      </x:c>
    </x:row>
    <x:row r="15">
      <x:c r="A15" t="str">
        <x:v>L-0014</x:v>
      </x:c>
      <x:c r="B15" t="str">
        <x:v>Benjamin</x:v>
      </x:c>
      <x:c r="C15" t="str">
        <x:v>Davis</x:v>
      </x:c>
      <x:c r="D15" t="str">
        <x:v>Apex Manufacturing</x:v>
      </x:c>
      <x:c r="E15" t="str">
        <x:v>benjamin.davis409@prospect.co</x:v>
      </x:c>
      <x:c r="F15" t="str">
        <x:v>(486) 271-5573</x:v>
      </x:c>
      <x:c r="G15" t="str">
        <x:v>IL</x:v>
      </x:c>
      <x:c r="H15" t="str">
        <x:v>Referral</x:v>
      </x:c>
      <x:c r="I15" t="str">
        <x:v>Closed Won</x:v>
      </x:c>
      <x:c r="J15" t="str">
        <x:v>Taylor Morgan</x:v>
      </x:c>
      <x:c r="K15" s="6" t="n">
        <x:v>46188</x:v>
      </x:c>
      <x:c r="L15" s="6" t="n">
        <x:v>46216</x:v>
      </x:c>
      <x:c r="M15" s="6"/>
      <x:c r="N15" s="8" t="n">
        <x:v>4500</x:v>
      </x:c>
      <x:c r="O15" t="str">
        <x:v>Logistics</x:v>
      </x:c>
      <x:c r="P15" t="str">
        <x:v>Yes</x:v>
      </x:c>
      <x:c r="Q15" t="str">
        <x:v>Yes</x:v>
      </x:c>
      <x:c r="R15" s="6" t="n">
        <x:v>46216</x:v>
      </x:c>
      <x:c r="S15" t="str">
        <x:f>IF(E15="","Unique",IF(COUNTIF($E$2:E15,E15)&gt;1,"Duplicate","Unique"))</x:f>
        <x:v>Unique</x:v>
      </x:c>
      <x:c r="T15" t="str">
        <x:f>IF(J15="Unassigned","Yes","No")</x:f>
        <x:v>No</x:v>
      </x:c>
      <x:c r="U15" t="str">
        <x:f>IF(AND(E15="",F15=""),"Yes","No")</x:f>
        <x:v>No</x:v>
      </x:c>
      <x:c r="V15" t="str">
        <x:f>IF(AND('Dashboard'!$B$2-L15&gt;30,I15&lt;&gt;"Closed Won",I15&lt;&gt;"Closed Lost"),"Yes","No")</x:f>
        <x:v>No</x:v>
      </x:c>
      <x:c r="W15" t="str">
        <x:f>IF(AND(M15&lt;&gt;"",M15&lt;'Dashboard'!$B$2,I15&lt;&gt;"Closed Won",I15&lt;&gt;"Closed Lost"),"Yes","No")</x:f>
        <x:v>No</x:v>
      </x:c>
      <x:c r="X15" t="str">
        <x:f>IF(OR(S15="Duplicate",T15="Yes",U15="Yes",D15="Unknown",W15="Yes"),"Yes","No")</x:f>
        <x:v>No</x:v>
      </x:c>
      <x:c r="Y15" t="n">
        <x:f>IF(S15="Duplicate",0,1)</x:f>
        <x:v>1</x:v>
      </x:c>
    </x:row>
    <x:row r="16">
      <x:c r="A16" t="str">
        <x:v>L-0015</x:v>
      </x:c>
      <x:c r="B16" t="str">
        <x:v>Isabella</x:v>
      </x:c>
      <x:c r="C16" t="str">
        <x:v>Taylor</x:v>
      </x:c>
      <x:c r="D16" t="str">
        <x:v>Summit Analytics</x:v>
      </x:c>
      <x:c r="E16" t="str">
        <x:v>isabella.taylor704@examplebiz.com</x:v>
      </x:c>
      <x:c r="F16" t="str">
        <x:v>(573) 641-2146</x:v>
      </x:c>
      <x:c r="G16" t="str">
        <x:v>WA</x:v>
      </x:c>
      <x:c r="H16" t="str">
        <x:v>Website</x:v>
      </x:c>
      <x:c r="I16" t="str">
        <x:v>New</x:v>
      </x:c>
      <x:c r="J16" t="str">
        <x:v>Alex Kim</x:v>
      </x:c>
      <x:c r="K16" s="6" t="n">
        <x:v>46135</x:v>
      </x:c>
      <x:c r="L16" s="6" t="n">
        <x:v>46135</x:v>
      </x:c>
      <x:c r="M16" s="6" t="n">
        <x:v>46154</x:v>
      </x:c>
      <x:c r="N16" s="8" t="n">
        <x:v>78900</x:v>
      </x:c>
      <x:c r="O16" t="str">
        <x:v>Professional Services</x:v>
      </x:c>
      <x:c r="P16" t="str">
        <x:v>No</x:v>
      </x:c>
      <x:c r="Q16" t="str">
        <x:v>No</x:v>
      </x:c>
      <x:c r="R16" s="6"/>
      <x:c r="S16" t="str">
        <x:f>IF(E16="","Unique",IF(COUNTIF($E$2:E16,E16)&gt;1,"Duplicate","Unique"))</x:f>
        <x:v>Unique</x:v>
      </x:c>
      <x:c r="T16" t="str">
        <x:f>IF(J16="Unassigned","Yes","No")</x:f>
        <x:v>No</x:v>
      </x:c>
      <x:c r="U16" t="str">
        <x:f>IF(AND(E16="",F16=""),"Yes","No")</x:f>
        <x:v>No</x:v>
      </x:c>
      <x:c r="V16" t="str">
        <x:f>IF(AND('Dashboard'!$B$2-L16&gt;30,I16&lt;&gt;"Closed Won",I16&lt;&gt;"Closed Lost"),"Yes","No")</x:f>
        <x:v>Yes</x:v>
      </x:c>
      <x:c r="W16" t="str">
        <x:f>IF(AND(M16&lt;&gt;"",M16&lt;'Dashboard'!$B$2,I16&lt;&gt;"Closed Won",I16&lt;&gt;"Closed Lost"),"Yes","No")</x:f>
        <x:v>Yes</x:v>
      </x:c>
      <x:c r="X16" t="str">
        <x:f>IF(OR(S16="Duplicate",T16="Yes",U16="Yes",D16="Unknown",W16="Yes"),"Yes","No")</x:f>
        <x:v>Yes</x:v>
      </x:c>
      <x:c r="Y16" t="n">
        <x:f>IF(S16="Duplicate",0,1)</x:f>
        <x:v>1</x:v>
      </x:c>
    </x:row>
    <x:row r="17">
      <x:c r="A17" t="str">
        <x:v>L-0016</x:v>
      </x:c>
      <x:c r="B17" t="str">
        <x:v>Amelia</x:v>
      </x:c>
      <x:c r="C17" t="str">
        <x:v>Garcia</x:v>
      </x:c>
      <x:c r="D17" t="str">
        <x:v>Evergreen Services</x:v>
      </x:c>
      <x:c r="E17" t="str">
        <x:v>amelia.garcia477@mailhub.net</x:v>
      </x:c>
      <x:c r="F17" t="str">
        <x:v>(653) 891-4501</x:v>
      </x:c>
      <x:c r="G17" t="str">
        <x:v>GA</x:v>
      </x:c>
      <x:c r="H17" t="str">
        <x:v>Email Campaign</x:v>
      </x:c>
      <x:c r="I17" t="str">
        <x:v>Contacted</x:v>
      </x:c>
      <x:c r="J17" t="str">
        <x:v>Casey Patel</x:v>
      </x:c>
      <x:c r="K17" s="6" t="n">
        <x:v>46193</x:v>
      </x:c>
      <x:c r="L17" s="6" t="n">
        <x:v>46220</x:v>
      </x:c>
      <x:c r="M17" s="6" t="n">
        <x:v>46241</x:v>
      </x:c>
      <x:c r="N17" s="8" t="n">
        <x:v>52500</x:v>
      </x:c>
      <x:c r="O17" t="str">
        <x:v>Professional Services</x:v>
      </x:c>
      <x:c r="P17" t="str">
        <x:v>No</x:v>
      </x:c>
      <x:c r="Q17" t="str">
        <x:v>No</x:v>
      </x:c>
      <x:c r="R17" s="6"/>
      <x:c r="S17" t="str">
        <x:f>IF(E17="","Unique",IF(COUNTIF($E$2:E17,E17)&gt;1,"Duplicate","Unique"))</x:f>
        <x:v>Unique</x:v>
      </x:c>
      <x:c r="T17" t="str">
        <x:f>IF(J17="Unassigned","Yes","No")</x:f>
        <x:v>No</x:v>
      </x:c>
      <x:c r="U17" t="str">
        <x:f>IF(AND(E17="",F17=""),"Yes","No")</x:f>
        <x:v>No</x:v>
      </x:c>
      <x:c r="V17" t="str">
        <x:f>IF(AND('Dashboard'!$B$2-L17&gt;30,I17&lt;&gt;"Closed Won",I17&lt;&gt;"Closed Lost"),"Yes","No")</x:f>
        <x:v>Yes</x:v>
      </x:c>
      <x:c r="W17" t="str">
        <x:f>IF(AND(M17&lt;&gt;"",M17&lt;'Dashboard'!$B$2,I17&lt;&gt;"Closed Won",I17&lt;&gt;"Closed Lost"),"Yes","No")</x:f>
        <x:v>Yes</x:v>
      </x:c>
      <x:c r="X17" t="str">
        <x:f>IF(OR(S17="Duplicate",T17="Yes",U17="Yes",D17="Unknown",W17="Yes"),"Yes","No")</x:f>
        <x:v>Yes</x:v>
      </x:c>
      <x:c r="Y17" t="n">
        <x:f>IF(S17="Duplicate",0,1)</x:f>
        <x:v>1</x:v>
      </x:c>
    </x:row>
    <x:row r="18">
      <x:c r="A18" t="str">
        <x:v>L-0017</x:v>
      </x:c>
      <x:c r="B18" t="str">
        <x:v>Olivia</x:v>
      </x:c>
      <x:c r="C18" t="str">
        <x:v>Jones</x:v>
      </x:c>
      <x:c r="D18" t="str">
        <x:v>Northstar Labs</x:v>
      </x:c>
      <x:c r="E18" t="str">
        <x:v>olivia.jones590@examplebiz.com</x:v>
      </x:c>
      <x:c r="F18" t="str"/>
      <x:c r="G18" t="str">
        <x:v>FL</x:v>
      </x:c>
      <x:c r="H18" t="str">
        <x:v>Outbound</x:v>
      </x:c>
      <x:c r="I18" t="str">
        <x:v>Opportunity</x:v>
      </x:c>
      <x:c r="J18" t="str">
        <x:v>Jamie Brooks</x:v>
      </x:c>
      <x:c r="K18" s="6" t="n">
        <x:v>46050</x:v>
      </x:c>
      <x:c r="L18" s="6" t="n">
        <x:v>46068</x:v>
      </x:c>
      <x:c r="M18" s="6" t="n">
        <x:v>46085</x:v>
      </x:c>
      <x:c r="N18" s="8" t="n">
        <x:v>36700</x:v>
      </x:c>
      <x:c r="O18" t="str">
        <x:v>Healthcare</x:v>
      </x:c>
      <x:c r="P18" t="str">
        <x:v>Yes</x:v>
      </x:c>
      <x:c r="Q18" t="str">
        <x:v>No</x:v>
      </x:c>
      <x:c r="R18" s="6"/>
      <x:c r="S18" t="str">
        <x:f>IF(E18="","Unique",IF(COUNTIF($E$2:E18,E18)&gt;1,"Duplicate","Unique"))</x:f>
        <x:v>Unique</x:v>
      </x:c>
      <x:c r="T18" t="str">
        <x:f>IF(J18="Unassigned","Yes","No")</x:f>
        <x:v>No</x:v>
      </x:c>
      <x:c r="U18" t="str">
        <x:f>IF(AND(E18="",F18=""),"Yes","No")</x:f>
        <x:v>No</x:v>
      </x:c>
      <x:c r="V18" t="str">
        <x:f>IF(AND('Dashboard'!$B$2-L18&gt;30,I18&lt;&gt;"Closed Won",I18&lt;&gt;"Closed Lost"),"Yes","No")</x:f>
        <x:v>Yes</x:v>
      </x:c>
      <x:c r="W18" t="str">
        <x:f>IF(AND(M18&lt;&gt;"",M18&lt;'Dashboard'!$B$2,I18&lt;&gt;"Closed Won",I18&lt;&gt;"Closed Lost"),"Yes","No")</x:f>
        <x:v>Yes</x:v>
      </x:c>
      <x:c r="X18" t="str">
        <x:f>IF(OR(S18="Duplicate",T18="Yes",U18="Yes",D18="Unknown",W18="Yes"),"Yes","No")</x:f>
        <x:v>Yes</x:v>
      </x:c>
      <x:c r="Y18" t="n">
        <x:f>IF(S18="Duplicate",0,1)</x:f>
        <x:v>1</x:v>
      </x:c>
    </x:row>
    <x:row r="19">
      <x:c r="A19" t="str">
        <x:v>L-0018</x:v>
      </x:c>
      <x:c r="B19" t="str">
        <x:v>Noah</x:v>
      </x:c>
      <x:c r="C19" t="str">
        <x:v>Moore</x:v>
      </x:c>
      <x:c r="D19" t="str">
        <x:v>Blue Ridge Supply</x:v>
      </x:c>
      <x:c r="E19" t="str">
        <x:v>noah.moore437@mailhub.net</x:v>
      </x:c>
      <x:c r="F19" t="str">
        <x:v>(363) 961-8777</x:v>
      </x:c>
      <x:c r="G19" t="str">
        <x:v>OH</x:v>
      </x:c>
      <x:c r="H19" t="str">
        <x:v>Webinar</x:v>
      </x:c>
      <x:c r="I19" t="str">
        <x:v>Qualified</x:v>
      </x:c>
      <x:c r="J19" t="str">
        <x:v>Alex Kim</x:v>
      </x:c>
      <x:c r="K19" s="6" t="n">
        <x:v>46165</x:v>
      </x:c>
      <x:c r="L19" s="6" t="n">
        <x:v>46221</x:v>
      </x:c>
      <x:c r="M19" s="6" t="n">
        <x:v>46243</x:v>
      </x:c>
      <x:c r="N19" s="8" t="n">
        <x:v>69700</x:v>
      </x:c>
      <x:c r="O19" t="str">
        <x:v>Logistics</x:v>
      </x:c>
      <x:c r="P19" t="str">
        <x:v>Yes</x:v>
      </x:c>
      <x:c r="Q19" t="str">
        <x:v>No</x:v>
      </x:c>
      <x:c r="R19" s="6"/>
      <x:c r="S19" t="str">
        <x:f>IF(E19="","Unique",IF(COUNTIF($E$2:E19,E19)&gt;1,"Duplicate","Unique"))</x:f>
        <x:v>Unique</x:v>
      </x:c>
      <x:c r="T19" t="str">
        <x:f>IF(J19="Unassigned","Yes","No")</x:f>
        <x:v>No</x:v>
      </x:c>
      <x:c r="U19" t="str">
        <x:f>IF(AND(E19="",F19=""),"Yes","No")</x:f>
        <x:v>No</x:v>
      </x:c>
      <x:c r="V19" t="str">
        <x:f>IF(AND('Dashboard'!$B$2-L19&gt;30,I19&lt;&gt;"Closed Won",I19&lt;&gt;"Closed Lost"),"Yes","No")</x:f>
        <x:v>No</x:v>
      </x:c>
      <x:c r="W19" t="str">
        <x:f>IF(AND(M19&lt;&gt;"",M19&lt;'Dashboard'!$B$2,I19&lt;&gt;"Closed Won",I19&lt;&gt;"Closed Lost"),"Yes","No")</x:f>
        <x:v>Yes</x:v>
      </x:c>
      <x:c r="X19" t="str">
        <x:f>IF(OR(S19="Duplicate",T19="Yes",U19="Yes",D19="Unknown",W19="Yes"),"Yes","No")</x:f>
        <x:v>Yes</x:v>
      </x:c>
      <x:c r="Y19" t="n">
        <x:f>IF(S19="Duplicate",0,1)</x:f>
        <x:v>1</x:v>
      </x:c>
    </x:row>
    <x:row r="20">
      <x:c r="A20" t="str">
        <x:v>L-0019</x:v>
      </x:c>
      <x:c r="B20" t="str">
        <x:v>Mia</x:v>
      </x:c>
      <x:c r="C20" t="str">
        <x:v>Jones</x:v>
      </x:c>
      <x:c r="D20" t="str">
        <x:v>Blue Ridge Supply</x:v>
      </x:c>
      <x:c r="E20" t="str">
        <x:v>mia.jones426@northmail.com</x:v>
      </x:c>
      <x:c r="F20" t="str">
        <x:v>(412) 630-7381</x:v>
      </x:c>
      <x:c r="G20" t="str">
        <x:v>AZ</x:v>
      </x:c>
      <x:c r="H20" t="str">
        <x:v>LinkedIn</x:v>
      </x:c>
      <x:c r="I20" t="str">
        <x:v>Opportunity</x:v>
      </x:c>
      <x:c r="J20" t="str">
        <x:v>Morgan Reed</x:v>
      </x:c>
      <x:c r="K20" s="6" t="n">
        <x:v>46230</x:v>
      </x:c>
      <x:c r="L20" s="6" t="n">
        <x:v>46243</x:v>
      </x:c>
      <x:c r="M20" s="6" t="n">
        <x:v>46259</x:v>
      </x:c>
      <x:c r="N20" s="8" t="n">
        <x:v>29800</x:v>
      </x:c>
      <x:c r="O20" t="str">
        <x:v>Retail</x:v>
      </x:c>
      <x:c r="P20" t="str">
        <x:v>Yes</x:v>
      </x:c>
      <x:c r="Q20" t="str">
        <x:v>No</x:v>
      </x:c>
      <x:c r="R20" s="6"/>
      <x:c r="S20" t="str">
        <x:f>IF(E20="","Unique",IF(COUNTIF($E$2:E20,E20)&gt;1,"Duplicate","Unique"))</x:f>
        <x:v>Unique</x:v>
      </x:c>
      <x:c r="T20" t="str">
        <x:f>IF(J20="Unassigned","Yes","No")</x:f>
        <x:v>No</x:v>
      </x:c>
      <x:c r="U20" t="str">
        <x:f>IF(AND(E20="",F20=""),"Yes","No")</x:f>
        <x:v>No</x:v>
      </x:c>
      <x:c r="V20" t="str">
        <x:f>IF(AND('Dashboard'!$B$2-L20&gt;30,I20&lt;&gt;"Closed Won",I20&lt;&gt;"Closed Lost"),"Yes","No")</x:f>
        <x:v>No</x:v>
      </x:c>
      <x:c r="W20" t="str">
        <x:f>IF(AND(M20&lt;&gt;"",M20&lt;'Dashboard'!$B$2,I20&lt;&gt;"Closed Won",I20&lt;&gt;"Closed Lost"),"Yes","No")</x:f>
        <x:v>No</x:v>
      </x:c>
      <x:c r="X20" t="str">
        <x:f>IF(OR(S20="Duplicate",T20="Yes",U20="Yes",D20="Unknown",W20="Yes"),"Yes","No")</x:f>
        <x:v>No</x:v>
      </x:c>
      <x:c r="Y20" t="n">
        <x:f>IF(S20="Duplicate",0,1)</x:f>
        <x:v>1</x:v>
      </x:c>
    </x:row>
    <x:row r="21">
      <x:c r="A21" t="str">
        <x:v>L-0020</x:v>
      </x:c>
      <x:c r="B21" t="str">
        <x:v>Elijah</x:v>
      </x:c>
      <x:c r="C21" t="str">
        <x:v>Thompson</x:v>
      </x:c>
      <x:c r="D21" t="str">
        <x:v>Unknown</x:v>
      </x:c>
      <x:c r="E21" t="str">
        <x:v>elijah.thompson742@examplebiz.com</x:v>
      </x:c>
      <x:c r="F21" t="str"/>
      <x:c r="G21" t="str">
        <x:v>FL</x:v>
      </x:c>
      <x:c r="H21" t="str">
        <x:v>Referral</x:v>
      </x:c>
      <x:c r="I21" t="str">
        <x:v>Qualified</x:v>
      </x:c>
      <x:c r="J21" t="str">
        <x:v>Morgan Reed</x:v>
      </x:c>
      <x:c r="K21" s="6" t="n">
        <x:v>46147</x:v>
      </x:c>
      <x:c r="L21" s="6" t="n">
        <x:v>46190</x:v>
      </x:c>
      <x:c r="M21" s="6" t="n">
        <x:v>46214</x:v>
      </x:c>
      <x:c r="N21" s="8" t="n">
        <x:v>58500</x:v>
      </x:c>
      <x:c r="O21" t="str">
        <x:v>Logistics</x:v>
      </x:c>
      <x:c r="P21" t="str">
        <x:v>Yes</x:v>
      </x:c>
      <x:c r="Q21" t="str">
        <x:v>No</x:v>
      </x:c>
      <x:c r="R21" s="6"/>
      <x:c r="S21" t="str">
        <x:f>IF(E21="","Unique",IF(COUNTIF($E$2:E21,E21)&gt;1,"Duplicate","Unique"))</x:f>
        <x:v>Unique</x:v>
      </x:c>
      <x:c r="T21" t="str">
        <x:f>IF(J21="Unassigned","Yes","No")</x:f>
        <x:v>No</x:v>
      </x:c>
      <x:c r="U21" t="str">
        <x:f>IF(AND(E21="",F21=""),"Yes","No")</x:f>
        <x:v>No</x:v>
      </x:c>
      <x:c r="V21" t="str">
        <x:f>IF(AND('Dashboard'!$B$2-L21&gt;30,I21&lt;&gt;"Closed Won",I21&lt;&gt;"Closed Lost"),"Yes","No")</x:f>
        <x:v>Yes</x:v>
      </x:c>
      <x:c r="W21" t="str">
        <x:f>IF(AND(M21&lt;&gt;"",M21&lt;'Dashboard'!$B$2,I21&lt;&gt;"Closed Won",I21&lt;&gt;"Closed Lost"),"Yes","No")</x:f>
        <x:v>Yes</x:v>
      </x:c>
      <x:c r="X21" t="str">
        <x:f>IF(OR(S21="Duplicate",T21="Yes",U21="Yes",D21="Unknown",W21="Yes"),"Yes","No")</x:f>
        <x:v>Yes</x:v>
      </x:c>
      <x:c r="Y21" t="n">
        <x:f>IF(S21="Duplicate",0,1)</x:f>
        <x:v>1</x:v>
      </x:c>
    </x:row>
    <x:row r="22">
      <x:c r="A22" t="str">
        <x:v>L-0021</x:v>
      </x:c>
      <x:c r="B22" t="str">
        <x:v>Amelia</x:v>
      </x:c>
      <x:c r="C22" t="str">
        <x:v>Rodriguez</x:v>
      </x:c>
      <x:c r="D22" t="str">
        <x:v>Vertex Solutions</x:v>
      </x:c>
      <x:c r="E22" t="str">
        <x:v>amelia.rodriguez42@northmail.com</x:v>
      </x:c>
      <x:c r="F22" t="str">
        <x:v>(454) 404-1333</x:v>
      </x:c>
      <x:c r="G22" t="str">
        <x:v>TX</x:v>
      </x:c>
      <x:c r="H22" t="str">
        <x:v>Webinar</x:v>
      </x:c>
      <x:c r="I22" t="str">
        <x:v>Opportunity</x:v>
      </x:c>
      <x:c r="J22" t="str">
        <x:v>Jamie Brooks</x:v>
      </x:c>
      <x:c r="K22" s="6" t="n">
        <x:v>46233</x:v>
      </x:c>
      <x:c r="L22" s="6" t="n">
        <x:v>46244</x:v>
      </x:c>
      <x:c r="M22" s="6" t="n">
        <x:v>46254</x:v>
      </x:c>
      <x:c r="N22" s="8" t="n">
        <x:v>56100</x:v>
      </x:c>
      <x:c r="O22" t="str">
        <x:v>Financial Services</x:v>
      </x:c>
      <x:c r="P22" t="str">
        <x:v>Yes</x:v>
      </x:c>
      <x:c r="Q22" t="str">
        <x:v>No</x:v>
      </x:c>
      <x:c r="R22" s="6"/>
      <x:c r="S22" t="str">
        <x:f>IF(E22="","Unique",IF(COUNTIF($E$2:E22,E22)&gt;1,"Duplicate","Unique"))</x:f>
        <x:v>Unique</x:v>
      </x:c>
      <x:c r="T22" t="str">
        <x:f>IF(J22="Unassigned","Yes","No")</x:f>
        <x:v>No</x:v>
      </x:c>
      <x:c r="U22" t="str">
        <x:f>IF(AND(E22="",F22=""),"Yes","No")</x:f>
        <x:v>No</x:v>
      </x:c>
      <x:c r="V22" t="str">
        <x:f>IF(AND('Dashboard'!$B$2-L22&gt;30,I22&lt;&gt;"Closed Won",I22&lt;&gt;"Closed Lost"),"Yes","No")</x:f>
        <x:v>No</x:v>
      </x:c>
      <x:c r="W22" t="str">
        <x:f>IF(AND(M22&lt;&gt;"",M22&lt;'Dashboard'!$B$2,I22&lt;&gt;"Closed Won",I22&lt;&gt;"Closed Lost"),"Yes","No")</x:f>
        <x:v>No</x:v>
      </x:c>
      <x:c r="X22" t="str">
        <x:f>IF(OR(S22="Duplicate",T22="Yes",U22="Yes",D22="Unknown",W22="Yes"),"Yes","No")</x:f>
        <x:v>No</x:v>
      </x:c>
      <x:c r="Y22" t="n">
        <x:f>IF(S22="Duplicate",0,1)</x:f>
        <x:v>1</x:v>
      </x:c>
    </x:row>
    <x:row r="23">
      <x:c r="A23" t="str">
        <x:v>L-0022</x:v>
      </x:c>
      <x:c r="B23" t="str">
        <x:v>Ava</x:v>
      </x:c>
      <x:c r="C23" t="str">
        <x:v>Martinez</x:v>
      </x:c>
      <x:c r="D23" t="str">
        <x:v>Silverline Foods</x:v>
      </x:c>
      <x:c r="E23" t="str">
        <x:v>ava.martinez871@northmail.com</x:v>
      </x:c>
      <x:c r="F23" t="str">
        <x:v>(780) 242-6688</x:v>
      </x:c>
      <x:c r="G23" t="str">
        <x:v>PA</x:v>
      </x:c>
      <x:c r="H23" t="str">
        <x:v>Website</x:v>
      </x:c>
      <x:c r="I23" t="str">
        <x:v>Qualified</x:v>
      </x:c>
      <x:c r="J23" t="str">
        <x:v>Casey Patel</x:v>
      </x:c>
      <x:c r="K23" s="6" t="n">
        <x:v>46034</x:v>
      </x:c>
      <x:c r="L23" s="6" t="n">
        <x:v>46194</x:v>
      </x:c>
      <x:c r="M23" s="6" t="n">
        <x:v>46204</x:v>
      </x:c>
      <x:c r="N23" s="8" t="n">
        <x:v>10900</x:v>
      </x:c>
      <x:c r="O23" t="str">
        <x:v>Professional Services</x:v>
      </x:c>
      <x:c r="P23" t="str">
        <x:v>Yes</x:v>
      </x:c>
      <x:c r="Q23" t="str">
        <x:v>No</x:v>
      </x:c>
      <x:c r="R23" s="6"/>
      <x:c r="S23" t="str">
        <x:f>IF(E23="","Unique",IF(COUNTIF($E$2:E23,E23)&gt;1,"Duplicate","Unique"))</x:f>
        <x:v>Unique</x:v>
      </x:c>
      <x:c r="T23" t="str">
        <x:f>IF(J23="Unassigned","Yes","No")</x:f>
        <x:v>No</x:v>
      </x:c>
      <x:c r="U23" t="str">
        <x:f>IF(AND(E23="",F23=""),"Yes","No")</x:f>
        <x:v>No</x:v>
      </x:c>
      <x:c r="V23" t="str">
        <x:f>IF(AND('Dashboard'!$B$2-L23&gt;30,I23&lt;&gt;"Closed Won",I23&lt;&gt;"Closed Lost"),"Yes","No")</x:f>
        <x:v>Yes</x:v>
      </x:c>
      <x:c r="W23" t="str">
        <x:f>IF(AND(M23&lt;&gt;"",M23&lt;'Dashboard'!$B$2,I23&lt;&gt;"Closed Won",I23&lt;&gt;"Closed Lost"),"Yes","No")</x:f>
        <x:v>Yes</x:v>
      </x:c>
      <x:c r="X23" t="str">
        <x:f>IF(OR(S23="Duplicate",T23="Yes",U23="Yes",D23="Unknown",W23="Yes"),"Yes","No")</x:f>
        <x:v>Yes</x:v>
      </x:c>
      <x:c r="Y23" t="n">
        <x:f>IF(S23="Duplicate",0,1)</x:f>
        <x:v>1</x:v>
      </x:c>
    </x:row>
    <x:row r="24">
      <x:c r="A24" t="str">
        <x:v>L-0023</x:v>
      </x:c>
      <x:c r="B24" t="str">
        <x:v>Evelyn</x:v>
      </x:c>
      <x:c r="C24" t="str">
        <x:v>Rodriguez</x:v>
      </x:c>
      <x:c r="D24" t="str">
        <x:v>Atlas Commerce</x:v>
      </x:c>
      <x:c r="E24" t="str">
        <x:v>evelyn.rodriguez250@mailhub.net</x:v>
      </x:c>
      <x:c r="F24" t="str">
        <x:v>(784) 824-7209</x:v>
      </x:c>
      <x:c r="G24" t="str">
        <x:v>AZ</x:v>
      </x:c>
      <x:c r="H24" t="str">
        <x:v>Email Campaign</x:v>
      </x:c>
      <x:c r="I24" t="str">
        <x:v>Qualified</x:v>
      </x:c>
      <x:c r="J24" t="str">
        <x:v>Morgan Reed</x:v>
      </x:c>
      <x:c r="K24" s="6" t="n">
        <x:v>46164</x:v>
      </x:c>
      <x:c r="L24" s="6" t="n">
        <x:v>46195</x:v>
      </x:c>
      <x:c r="M24" s="6" t="n">
        <x:v>46200</x:v>
      </x:c>
      <x:c r="N24" s="8" t="n">
        <x:v>25500</x:v>
      </x:c>
      <x:c r="O24" t="str">
        <x:v>Logistics</x:v>
      </x:c>
      <x:c r="P24" t="str">
        <x:v>Yes</x:v>
      </x:c>
      <x:c r="Q24" t="str">
        <x:v>No</x:v>
      </x:c>
      <x:c r="R24" s="6"/>
      <x:c r="S24" t="str">
        <x:f>IF(E24="","Unique",IF(COUNTIF($E$2:E24,E24)&gt;1,"Duplicate","Unique"))</x:f>
        <x:v>Unique</x:v>
      </x:c>
      <x:c r="T24" t="str">
        <x:f>IF(J24="Unassigned","Yes","No")</x:f>
        <x:v>No</x:v>
      </x:c>
      <x:c r="U24" t="str">
        <x:f>IF(AND(E24="",F24=""),"Yes","No")</x:f>
        <x:v>No</x:v>
      </x:c>
      <x:c r="V24" t="str">
        <x:f>IF(AND('Dashboard'!$B$2-L24&gt;30,I24&lt;&gt;"Closed Won",I24&lt;&gt;"Closed Lost"),"Yes","No")</x:f>
        <x:v>Yes</x:v>
      </x:c>
      <x:c r="W24" t="str">
        <x:f>IF(AND(M24&lt;&gt;"",M24&lt;'Dashboard'!$B$2,I24&lt;&gt;"Closed Won",I24&lt;&gt;"Closed Lost"),"Yes","No")</x:f>
        <x:v>Yes</x:v>
      </x:c>
      <x:c r="X24" t="str">
        <x:f>IF(OR(S24="Duplicate",T24="Yes",U24="Yes",D24="Unknown",W24="Yes"),"Yes","No")</x:f>
        <x:v>Yes</x:v>
      </x:c>
      <x:c r="Y24" t="n">
        <x:f>IF(S24="Duplicate",0,1)</x:f>
        <x:v>1</x:v>
      </x:c>
    </x:row>
    <x:row r="25">
      <x:c r="A25" t="str">
        <x:v>L-0024</x:v>
      </x:c>
      <x:c r="B25" t="str">
        <x:v>James</x:v>
      </x:c>
      <x:c r="C25" t="str">
        <x:v>Jackson</x:v>
      </x:c>
      <x:c r="D25" t="str">
        <x:v>Clearview Media</x:v>
      </x:c>
      <x:c r="E25" t="str">
        <x:v>james.jackson250@prospect.co</x:v>
      </x:c>
      <x:c r="F25" t="str">
        <x:v>(880) 795-7046</x:v>
      </x:c>
      <x:c r="G25" t="str">
        <x:v>OH</x:v>
      </x:c>
      <x:c r="H25" t="str">
        <x:v>LinkedIn</x:v>
      </x:c>
      <x:c r="I25" t="str">
        <x:v>Qualified</x:v>
      </x:c>
      <x:c r="J25" t="str">
        <x:v>Jamie Brooks</x:v>
      </x:c>
      <x:c r="K25" s="6" t="n">
        <x:v>46242</x:v>
      </x:c>
      <x:c r="L25" s="6" t="n">
        <x:v>46243</x:v>
      </x:c>
      <x:c r="M25" s="6" t="n">
        <x:v>46255</x:v>
      </x:c>
      <x:c r="N25" s="8" t="n">
        <x:v>20800</x:v>
      </x:c>
      <x:c r="O25" t="str">
        <x:v>Logistics</x:v>
      </x:c>
      <x:c r="P25" t="str">
        <x:v>Yes</x:v>
      </x:c>
      <x:c r="Q25" t="str">
        <x:v>No</x:v>
      </x:c>
      <x:c r="R25" s="6"/>
      <x:c r="S25" t="str">
        <x:f>IF(E25="","Unique",IF(COUNTIF($E$2:E25,E25)&gt;1,"Duplicate","Unique"))</x:f>
        <x:v>Unique</x:v>
      </x:c>
      <x:c r="T25" t="str">
        <x:f>IF(J25="Unassigned","Yes","No")</x:f>
        <x:v>No</x:v>
      </x:c>
      <x:c r="U25" t="str">
        <x:f>IF(AND(E25="",F25=""),"Yes","No")</x:f>
        <x:v>No</x:v>
      </x:c>
      <x:c r="V25" t="str">
        <x:f>IF(AND('Dashboard'!$B$2-L25&gt;30,I25&lt;&gt;"Closed Won",I25&lt;&gt;"Closed Lost"),"Yes","No")</x:f>
        <x:v>No</x:v>
      </x:c>
      <x:c r="W25" t="str">
        <x:f>IF(AND(M25&lt;&gt;"",M25&lt;'Dashboard'!$B$2,I25&lt;&gt;"Closed Won",I25&lt;&gt;"Closed Lost"),"Yes","No")</x:f>
        <x:v>No</x:v>
      </x:c>
      <x:c r="X25" t="str">
        <x:f>IF(OR(S25="Duplicate",T25="Yes",U25="Yes",D25="Unknown",W25="Yes"),"Yes","No")</x:f>
        <x:v>No</x:v>
      </x:c>
      <x:c r="Y25" t="n">
        <x:f>IF(S25="Duplicate",0,1)</x:f>
        <x:v>1</x:v>
      </x:c>
    </x:row>
    <x:row r="26">
      <x:c r="A26" t="str">
        <x:v>L-0025</x:v>
      </x:c>
      <x:c r="B26" t="str">
        <x:v>Benjamin</x:v>
      </x:c>
      <x:c r="C26" t="str">
        <x:v>Rodriguez</x:v>
      </x:c>
      <x:c r="D26" t="str">
        <x:v>Evergreen Services</x:v>
      </x:c>
      <x:c r="E26" t="str">
        <x:v>benjamin.rodriguez47@northmail.com</x:v>
      </x:c>
      <x:c r="F26" t="str"/>
      <x:c r="G26" t="str">
        <x:v>FL</x:v>
      </x:c>
      <x:c r="H26" t="str">
        <x:v>Referral</x:v>
      </x:c>
      <x:c r="I26" t="str">
        <x:v>Contacted</x:v>
      </x:c>
      <x:c r="J26" t="str">
        <x:v>Casey Patel</x:v>
      </x:c>
      <x:c r="K26" s="6" t="n">
        <x:v>46169</x:v>
      </x:c>
      <x:c r="L26" s="6" t="n">
        <x:v>46170</x:v>
      </x:c>
      <x:c r="M26" s="6" t="n">
        <x:v>46195</x:v>
      </x:c>
      <x:c r="N26" s="8" t="n">
        <x:v>46600</x:v>
      </x:c>
      <x:c r="O26" t="str">
        <x:v>Technology</x:v>
      </x:c>
      <x:c r="P26" t="str">
        <x:v>No</x:v>
      </x:c>
      <x:c r="Q26" t="str">
        <x:v>No</x:v>
      </x:c>
      <x:c r="R26" s="6"/>
      <x:c r="S26" t="str">
        <x:f>IF(E26="","Unique",IF(COUNTIF($E$2:E26,E26)&gt;1,"Duplicate","Unique"))</x:f>
        <x:v>Unique</x:v>
      </x:c>
      <x:c r="T26" t="str">
        <x:f>IF(J26="Unassigned","Yes","No")</x:f>
        <x:v>No</x:v>
      </x:c>
      <x:c r="U26" t="str">
        <x:f>IF(AND(E26="",F26=""),"Yes","No")</x:f>
        <x:v>No</x:v>
      </x:c>
      <x:c r="V26" t="str">
        <x:f>IF(AND('Dashboard'!$B$2-L26&gt;30,I26&lt;&gt;"Closed Won",I26&lt;&gt;"Closed Lost"),"Yes","No")</x:f>
        <x:v>Yes</x:v>
      </x:c>
      <x:c r="W26" t="str">
        <x:f>IF(AND(M26&lt;&gt;"",M26&lt;'Dashboard'!$B$2,I26&lt;&gt;"Closed Won",I26&lt;&gt;"Closed Lost"),"Yes","No")</x:f>
        <x:v>Yes</x:v>
      </x:c>
      <x:c r="X26" t="str">
        <x:f>IF(OR(S26="Duplicate",T26="Yes",U26="Yes",D26="Unknown",W26="Yes"),"Yes","No")</x:f>
        <x:v>Yes</x:v>
      </x:c>
      <x:c r="Y26" t="n">
        <x:f>IF(S26="Duplicate",0,1)</x:f>
        <x:v>1</x:v>
      </x:c>
    </x:row>
    <x:row r="27">
      <x:c r="A27" t="str">
        <x:v>L-0026</x:v>
      </x:c>
      <x:c r="B27" t="str">
        <x:v>Luna</x:v>
      </x:c>
      <x:c r="C27" t="str">
        <x:v>Johnson</x:v>
      </x:c>
      <x:c r="D27" t="str">
        <x:v>Blue Ridge Supply</x:v>
      </x:c>
      <x:c r="E27" t="str">
        <x:v>luna.johnson611@examplebiz.com</x:v>
      </x:c>
      <x:c r="F27" t="str">
        <x:v>(736) 589-8381</x:v>
      </x:c>
      <x:c r="G27" t="str">
        <x:v>WA</x:v>
      </x:c>
      <x:c r="H27" t="str">
        <x:v>Outbound</x:v>
      </x:c>
      <x:c r="I27" t="str">
        <x:v>New</x:v>
      </x:c>
      <x:c r="J27" t="str">
        <x:v>Alex Kim</x:v>
      </x:c>
      <x:c r="K27" s="6" t="n">
        <x:v>46183</x:v>
      </x:c>
      <x:c r="L27" s="6" t="n">
        <x:v>46198</x:v>
      </x:c>
      <x:c r="M27" s="6" t="n">
        <x:v>46218</x:v>
      </x:c>
      <x:c r="N27" s="8" t="n">
        <x:v>65600</x:v>
      </x:c>
      <x:c r="O27" t="str">
        <x:v>Manufacturing</x:v>
      </x:c>
      <x:c r="P27" t="str">
        <x:v>No</x:v>
      </x:c>
      <x:c r="Q27" t="str">
        <x:v>No</x:v>
      </x:c>
      <x:c r="R27" s="6"/>
      <x:c r="S27" t="str">
        <x:f>IF(E27="","Unique",IF(COUNTIF($E$2:E27,E27)&gt;1,"Duplicate","Unique"))</x:f>
        <x:v>Unique</x:v>
      </x:c>
      <x:c r="T27" t="str">
        <x:f>IF(J27="Unassigned","Yes","No")</x:f>
        <x:v>No</x:v>
      </x:c>
      <x:c r="U27" t="str">
        <x:f>IF(AND(E27="",F27=""),"Yes","No")</x:f>
        <x:v>No</x:v>
      </x:c>
      <x:c r="V27" t="str">
        <x:f>IF(AND('Dashboard'!$B$2-L27&gt;30,I27&lt;&gt;"Closed Won",I27&lt;&gt;"Closed Lost"),"Yes","No")</x:f>
        <x:v>Yes</x:v>
      </x:c>
      <x:c r="W27" t="str">
        <x:f>IF(AND(M27&lt;&gt;"",M27&lt;'Dashboard'!$B$2,I27&lt;&gt;"Closed Won",I27&lt;&gt;"Closed Lost"),"Yes","No")</x:f>
        <x:v>Yes</x:v>
      </x:c>
      <x:c r="X27" t="str">
        <x:f>IF(OR(S27="Duplicate",T27="Yes",U27="Yes",D27="Unknown",W27="Yes"),"Yes","No")</x:f>
        <x:v>Yes</x:v>
      </x:c>
      <x:c r="Y27" t="n">
        <x:f>IF(S27="Duplicate",0,1)</x:f>
        <x:v>1</x:v>
      </x:c>
    </x:row>
    <x:row r="28">
      <x:c r="A28" t="str">
        <x:v>L-0027</x:v>
      </x:c>
      <x:c r="B28" t="str">
        <x:v>Elijah</x:v>
      </x:c>
      <x:c r="C28" t="str">
        <x:v>Williams</x:v>
      </x:c>
      <x:c r="D28" t="str">
        <x:v>Cedarworks</x:v>
      </x:c>
      <x:c r="E28" t="str">
        <x:v>elijah.williams720@mailhub.net</x:v>
      </x:c>
      <x:c r="F28" t="str">
        <x:v>273-903-4824</x:v>
      </x:c>
      <x:c r="G28" t="str">
        <x:v>AZ</x:v>
      </x:c>
      <x:c r="H28" t="str">
        <x:v>Webinar</x:v>
      </x:c>
      <x:c r="I28" t="str">
        <x:v>Qualified</x:v>
      </x:c>
      <x:c r="J28" t="str">
        <x:v>Casey Patel</x:v>
      </x:c>
      <x:c r="K28" s="6" t="n">
        <x:v>46172</x:v>
      </x:c>
      <x:c r="L28" s="6" t="n">
        <x:v>46176</x:v>
      </x:c>
      <x:c r="M28" s="6" t="n">
        <x:v>46186</x:v>
      </x:c>
      <x:c r="N28" s="8" t="n">
        <x:v>26300</x:v>
      </x:c>
      <x:c r="O28" t="str">
        <x:v>Healthcare</x:v>
      </x:c>
      <x:c r="P28" t="str">
        <x:v>Yes</x:v>
      </x:c>
      <x:c r="Q28" t="str">
        <x:v>No</x:v>
      </x:c>
      <x:c r="R28" s="6"/>
      <x:c r="S28" t="str">
        <x:f>IF(E28="","Unique",IF(COUNTIF($E$2:E28,E28)&gt;1,"Duplicate","Unique"))</x:f>
        <x:v>Unique</x:v>
      </x:c>
      <x:c r="T28" t="str">
        <x:f>IF(J28="Unassigned","Yes","No")</x:f>
        <x:v>No</x:v>
      </x:c>
      <x:c r="U28" t="str">
        <x:f>IF(AND(E28="",F28=""),"Yes","No")</x:f>
        <x:v>No</x:v>
      </x:c>
      <x:c r="V28" t="str">
        <x:f>IF(AND('Dashboard'!$B$2-L28&gt;30,I28&lt;&gt;"Closed Won",I28&lt;&gt;"Closed Lost"),"Yes","No")</x:f>
        <x:v>Yes</x:v>
      </x:c>
      <x:c r="W28" t="str">
        <x:f>IF(AND(M28&lt;&gt;"",M28&lt;'Dashboard'!$B$2,I28&lt;&gt;"Closed Won",I28&lt;&gt;"Closed Lost"),"Yes","No")</x:f>
        <x:v>Yes</x:v>
      </x:c>
      <x:c r="X28" t="str">
        <x:f>IF(OR(S28="Duplicate",T28="Yes",U28="Yes",D28="Unknown",W28="Yes"),"Yes","No")</x:f>
        <x:v>Yes</x:v>
      </x:c>
      <x:c r="Y28" t="n">
        <x:f>IF(S28="Duplicate",0,1)</x:f>
        <x:v>1</x:v>
      </x:c>
    </x:row>
    <x:row r="29">
      <x:c r="A29" t="str">
        <x:v>L-0028</x:v>
      </x:c>
      <x:c r="B29" t="str">
        <x:v>Luna</x:v>
      </x:c>
      <x:c r="C29" t="str">
        <x:v>Martinez</x:v>
      </x:c>
      <x:c r="D29" t="str">
        <x:v>Prairie Health</x:v>
      </x:c>
      <x:c r="E29" t="str">
        <x:v>luna.martinez613@northmail.com</x:v>
      </x:c>
      <x:c r="F29" t="str">
        <x:v>(643) 952-6280</x:v>
      </x:c>
      <x:c r="G29" t="str">
        <x:v>NC</x:v>
      </x:c>
      <x:c r="H29" t="str">
        <x:v>LinkedIn</x:v>
      </x:c>
      <x:c r="I29" t="str">
        <x:v>Opportunity</x:v>
      </x:c>
      <x:c r="J29" t="str">
        <x:v>Unassigned</x:v>
      </x:c>
      <x:c r="K29" s="6" t="n">
        <x:v>46177</x:v>
      </x:c>
      <x:c r="L29" s="6" t="n">
        <x:v>46241</x:v>
      </x:c>
      <x:c r="M29" s="6" t="n">
        <x:v>46261</x:v>
      </x:c>
      <x:c r="N29" s="8" t="n">
        <x:v>43200</x:v>
      </x:c>
      <x:c r="O29" t="str">
        <x:v>Technology</x:v>
      </x:c>
      <x:c r="P29" t="str">
        <x:v>Yes</x:v>
      </x:c>
      <x:c r="Q29" t="str">
        <x:v>No</x:v>
      </x:c>
      <x:c r="R29" s="6"/>
      <x:c r="S29" t="str">
        <x:f>IF(E29="","Unique",IF(COUNTIF($E$2:E29,E29)&gt;1,"Duplicate","Unique"))</x:f>
        <x:v>Unique</x:v>
      </x:c>
      <x:c r="T29" t="str">
        <x:f>IF(J29="Unassigned","Yes","No")</x:f>
        <x:v>Yes</x:v>
      </x:c>
      <x:c r="U29" t="str">
        <x:f>IF(AND(E29="",F29=""),"Yes","No")</x:f>
        <x:v>No</x:v>
      </x:c>
      <x:c r="V29" t="str">
        <x:f>IF(AND('Dashboard'!$B$2-L29&gt;30,I29&lt;&gt;"Closed Won",I29&lt;&gt;"Closed Lost"),"Yes","No")</x:f>
        <x:v>No</x:v>
      </x:c>
      <x:c r="W29" t="str">
        <x:f>IF(AND(M29&lt;&gt;"",M29&lt;'Dashboard'!$B$2,I29&lt;&gt;"Closed Won",I29&lt;&gt;"Closed Lost"),"Yes","No")</x:f>
        <x:v>No</x:v>
      </x:c>
      <x:c r="X29" t="str">
        <x:f>IF(OR(S29="Duplicate",T29="Yes",U29="Yes",D29="Unknown",W29="Yes"),"Yes","No")</x:f>
        <x:v>Yes</x:v>
      </x:c>
      <x:c r="Y29" t="n">
        <x:f>IF(S29="Duplicate",0,1)</x:f>
        <x:v>1</x:v>
      </x:c>
    </x:row>
    <x:row r="30">
      <x:c r="A30" t="str">
        <x:v>L-0029</x:v>
      </x:c>
      <x:c r="B30" t="str">
        <x:v>Evelyn</x:v>
      </x:c>
      <x:c r="C30" t="str">
        <x:v>Moore</x:v>
      </x:c>
      <x:c r="D30" t="str">
        <x:v>Horizon Bio</x:v>
      </x:c>
      <x:c r="E30" t="str">
        <x:v>evelyn.moore329@northmail.com</x:v>
      </x:c>
      <x:c r="F30" t="str">
        <x:v>(365) 537-7744</x:v>
      </x:c>
      <x:c r="G30" t="str">
        <x:v>WA</x:v>
      </x:c>
      <x:c r="H30" t="str">
        <x:v>Webinar</x:v>
      </x:c>
      <x:c r="I30" t="str">
        <x:v>Closed Won</x:v>
      </x:c>
      <x:c r="J30" t="str">
        <x:v>Casey Patel</x:v>
      </x:c>
      <x:c r="K30" s="6" t="n">
        <x:v>46223</x:v>
      </x:c>
      <x:c r="L30" s="6" t="n">
        <x:v>46238</x:v>
      </x:c>
      <x:c r="M30" s="6"/>
      <x:c r="N30" s="8" t="n">
        <x:v>31200</x:v>
      </x:c>
      <x:c r="O30" t="str">
        <x:v>Manufacturing</x:v>
      </x:c>
      <x:c r="P30" t="str">
        <x:v>Yes</x:v>
      </x:c>
      <x:c r="Q30" t="str">
        <x:v>Yes</x:v>
      </x:c>
      <x:c r="R30" s="6" t="n">
        <x:v>46243</x:v>
      </x:c>
      <x:c r="S30" t="str">
        <x:f>IF(E30="","Unique",IF(COUNTIF($E$2:E30,E30)&gt;1,"Duplicate","Unique"))</x:f>
        <x:v>Unique</x:v>
      </x:c>
      <x:c r="T30" t="str">
        <x:f>IF(J30="Unassigned","Yes","No")</x:f>
        <x:v>No</x:v>
      </x:c>
      <x:c r="U30" t="str">
        <x:f>IF(AND(E30="",F30=""),"Yes","No")</x:f>
        <x:v>No</x:v>
      </x:c>
      <x:c r="V30" t="str">
        <x:f>IF(AND('Dashboard'!$B$2-L30&gt;30,I30&lt;&gt;"Closed Won",I30&lt;&gt;"Closed Lost"),"Yes","No")</x:f>
        <x:v>No</x:v>
      </x:c>
      <x:c r="W30" t="str">
        <x:f>IF(AND(M30&lt;&gt;"",M30&lt;'Dashboard'!$B$2,I30&lt;&gt;"Closed Won",I30&lt;&gt;"Closed Lost"),"Yes","No")</x:f>
        <x:v>No</x:v>
      </x:c>
      <x:c r="X30" t="str">
        <x:f>IF(OR(S30="Duplicate",T30="Yes",U30="Yes",D30="Unknown",W30="Yes"),"Yes","No")</x:f>
        <x:v>No</x:v>
      </x:c>
      <x:c r="Y30" t="n">
        <x:f>IF(S30="Duplicate",0,1)</x:f>
        <x:v>1</x:v>
      </x:c>
    </x:row>
    <x:row r="31">
      <x:c r="A31" t="str">
        <x:v>L-0030</x:v>
      </x:c>
      <x:c r="B31" t="str">
        <x:v>Olivia</x:v>
      </x:c>
      <x:c r="C31" t="str">
        <x:v>Martin</x:v>
      </x:c>
      <x:c r="D31" t="str">
        <x:v>Pioneer Tech</x:v>
      </x:c>
      <x:c r="E31" t="str"/>
      <x:c r="F31" t="str">
        <x:v>(325) 229-4920</x:v>
      </x:c>
      <x:c r="G31" t="str">
        <x:v>OH</x:v>
      </x:c>
      <x:c r="H31" t="str">
        <x:v>Webinar</x:v>
      </x:c>
      <x:c r="I31" t="str">
        <x:v>New</x:v>
      </x:c>
      <x:c r="J31" t="str">
        <x:v>Morgan Reed</x:v>
      </x:c>
      <x:c r="K31" s="6" t="n">
        <x:v>46178</x:v>
      </x:c>
      <x:c r="L31" s="6" t="n">
        <x:v>46248</x:v>
      </x:c>
      <x:c r="M31" s="6" t="n">
        <x:v>46255</x:v>
      </x:c>
      <x:c r="N31" s="8" t="n">
        <x:v>79000</x:v>
      </x:c>
      <x:c r="O31" t="str">
        <x:v>Logistics</x:v>
      </x:c>
      <x:c r="P31" t="str">
        <x:v>No</x:v>
      </x:c>
      <x:c r="Q31" t="str">
        <x:v>No</x:v>
      </x:c>
      <x:c r="R31" s="6"/>
      <x:c r="S31" t="str">
        <x:f>IF(E31="","Unique",IF(COUNTIF($E$2:E31,E31)&gt;1,"Duplicate","Unique"))</x:f>
        <x:v>Unique</x:v>
      </x:c>
      <x:c r="T31" t="str">
        <x:f>IF(J31="Unassigned","Yes","No")</x:f>
        <x:v>No</x:v>
      </x:c>
      <x:c r="U31" t="str">
        <x:f>IF(AND(E31="",F31=""),"Yes","No")</x:f>
        <x:v>No</x:v>
      </x:c>
      <x:c r="V31" t="str">
        <x:f>IF(AND('Dashboard'!$B$2-L31&gt;30,I31&lt;&gt;"Closed Won",I31&lt;&gt;"Closed Lost"),"Yes","No")</x:f>
        <x:v>No</x:v>
      </x:c>
      <x:c r="W31" t="str">
        <x:f>IF(AND(M31&lt;&gt;"",M31&lt;'Dashboard'!$B$2,I31&lt;&gt;"Closed Won",I31&lt;&gt;"Closed Lost"),"Yes","No")</x:f>
        <x:v>No</x:v>
      </x:c>
      <x:c r="X31" t="str">
        <x:f>IF(OR(S31="Duplicate",T31="Yes",U31="Yes",D31="Unknown",W31="Yes"),"Yes","No")</x:f>
        <x:v>No</x:v>
      </x:c>
      <x:c r="Y31" t="n">
        <x:f>IF(S31="Duplicate",0,1)</x:f>
        <x:v>1</x:v>
      </x:c>
    </x:row>
    <x:row r="32">
      <x:c r="A32" t="str">
        <x:v>L-0031</x:v>
      </x:c>
      <x:c r="B32" t="str">
        <x:v>Sophia</x:v>
      </x:c>
      <x:c r="C32" t="str">
        <x:v>Taylor</x:v>
      </x:c>
      <x:c r="D32" t="str">
        <x:v>Atlas Commerce</x:v>
      </x:c>
      <x:c r="E32" t="str">
        <x:v>sophia.taylor885@northmail.com</x:v>
      </x:c>
      <x:c r="F32" t="str"/>
      <x:c r="G32" t="str">
        <x:v>FL</x:v>
      </x:c>
      <x:c r="H32" t="str">
        <x:v>Webinar</x:v>
      </x:c>
      <x:c r="I32" t="str">
        <x:v>New</x:v>
      </x:c>
      <x:c r="J32" t="str">
        <x:v>Taylor Morgan</x:v>
      </x:c>
      <x:c r="K32" s="6" t="n">
        <x:v>46198</x:v>
      </x:c>
      <x:c r="L32" s="6" t="n">
        <x:v>46236</x:v>
      </x:c>
      <x:c r="M32" s="6" t="n">
        <x:v>46255</x:v>
      </x:c>
      <x:c r="N32" s="8" t="n">
        <x:v>64100</x:v>
      </x:c>
      <x:c r="O32" t="str">
        <x:v>Logistics</x:v>
      </x:c>
      <x:c r="P32" t="str">
        <x:v>No</x:v>
      </x:c>
      <x:c r="Q32" t="str">
        <x:v>No</x:v>
      </x:c>
      <x:c r="R32" s="6"/>
      <x:c r="S32" t="str">
        <x:f>IF(E32="","Unique",IF(COUNTIF($E$2:E32,E32)&gt;1,"Duplicate","Unique"))</x:f>
        <x:v>Unique</x:v>
      </x:c>
      <x:c r="T32" t="str">
        <x:f>IF(J32="Unassigned","Yes","No")</x:f>
        <x:v>No</x:v>
      </x:c>
      <x:c r="U32" t="str">
        <x:f>IF(AND(E32="",F32=""),"Yes","No")</x:f>
        <x:v>No</x:v>
      </x:c>
      <x:c r="V32" t="str">
        <x:f>IF(AND('Dashboard'!$B$2-L32&gt;30,I32&lt;&gt;"Closed Won",I32&lt;&gt;"Closed Lost"),"Yes","No")</x:f>
        <x:v>No</x:v>
      </x:c>
      <x:c r="W32" t="str">
        <x:f>IF(AND(M32&lt;&gt;"",M32&lt;'Dashboard'!$B$2,I32&lt;&gt;"Closed Won",I32&lt;&gt;"Closed Lost"),"Yes","No")</x:f>
        <x:v>No</x:v>
      </x:c>
      <x:c r="X32" t="str">
        <x:f>IF(OR(S32="Duplicate",T32="Yes",U32="Yes",D32="Unknown",W32="Yes"),"Yes","No")</x:f>
        <x:v>No</x:v>
      </x:c>
      <x:c r="Y32" t="n">
        <x:f>IF(S32="Duplicate",0,1)</x:f>
        <x:v>1</x:v>
      </x:c>
    </x:row>
    <x:row r="33">
      <x:c r="A33" t="str">
        <x:v>L-0032</x:v>
      </x:c>
      <x:c r="B33" t="str">
        <x:v>Amelia</x:v>
      </x:c>
      <x:c r="C33" t="str">
        <x:v>Moore</x:v>
      </x:c>
      <x:c r="D33" t="str">
        <x:v>Redstone Consulting</x:v>
      </x:c>
      <x:c r="E33" t="str">
        <x:v>amelia.moore723@mailhub.net</x:v>
      </x:c>
      <x:c r="F33" t="str">
        <x:v>(596) 879-3492</x:v>
      </x:c>
      <x:c r="G33" t="str">
        <x:v>PA</x:v>
      </x:c>
      <x:c r="H33" t="str">
        <x:v>Website</x:v>
      </x:c>
      <x:c r="I33" t="str">
        <x:v>Contacted</x:v>
      </x:c>
      <x:c r="J33" t="str">
        <x:v>Unassigned</x:v>
      </x:c>
      <x:c r="K33" s="6" t="n">
        <x:v>46048</x:v>
      </x:c>
      <x:c r="L33" s="6" t="n">
        <x:v>46153</x:v>
      </x:c>
      <x:c r="M33" s="6" t="n">
        <x:v>46157</x:v>
      </x:c>
      <x:c r="N33" s="8" t="n">
        <x:v>28700</x:v>
      </x:c>
      <x:c r="O33" t="str">
        <x:v>Retail</x:v>
      </x:c>
      <x:c r="P33" t="str">
        <x:v>No</x:v>
      </x:c>
      <x:c r="Q33" t="str">
        <x:v>No</x:v>
      </x:c>
      <x:c r="R33" s="6"/>
      <x:c r="S33" t="str">
        <x:f>IF(E33="","Unique",IF(COUNTIF($E$2:E33,E33)&gt;1,"Duplicate","Unique"))</x:f>
        <x:v>Unique</x:v>
      </x:c>
      <x:c r="T33" t="str">
        <x:f>IF(J33="Unassigned","Yes","No")</x:f>
        <x:v>Yes</x:v>
      </x:c>
      <x:c r="U33" t="str">
        <x:f>IF(AND(E33="",F33=""),"Yes","No")</x:f>
        <x:v>No</x:v>
      </x:c>
      <x:c r="V33" t="str">
        <x:f>IF(AND('Dashboard'!$B$2-L33&gt;30,I33&lt;&gt;"Closed Won",I33&lt;&gt;"Closed Lost"),"Yes","No")</x:f>
        <x:v>Yes</x:v>
      </x:c>
      <x:c r="W33" t="str">
        <x:f>IF(AND(M33&lt;&gt;"",M33&lt;'Dashboard'!$B$2,I33&lt;&gt;"Closed Won",I33&lt;&gt;"Closed Lost"),"Yes","No")</x:f>
        <x:v>Yes</x:v>
      </x:c>
      <x:c r="X33" t="str">
        <x:f>IF(OR(S33="Duplicate",T33="Yes",U33="Yes",D33="Unknown",W33="Yes"),"Yes","No")</x:f>
        <x:v>Yes</x:v>
      </x:c>
      <x:c r="Y33" t="n">
        <x:f>IF(S33="Duplicate",0,1)</x:f>
        <x:v>1</x:v>
      </x:c>
    </x:row>
    <x:row r="34">
      <x:c r="A34" t="str">
        <x:v>L-0033</x:v>
      </x:c>
      <x:c r="B34" t="str">
        <x:v>Benjamin</x:v>
      </x:c>
      <x:c r="C34" t="str">
        <x:v>Rodriguez</x:v>
      </x:c>
      <x:c r="D34" t="str">
        <x:v>Redstone Consulting</x:v>
      </x:c>
      <x:c r="E34" t="str">
        <x:v>benjamin.rodriguez736@mailhub.net</x:v>
      </x:c>
      <x:c r="F34" t="str">
        <x:v>(755) 236-2121</x:v>
      </x:c>
      <x:c r="G34" t="str">
        <x:v>OH</x:v>
      </x:c>
      <x:c r="H34" t="str">
        <x:v>Website</x:v>
      </x:c>
      <x:c r="I34" t="str">
        <x:v>Contacted</x:v>
      </x:c>
      <x:c r="J34" t="str">
        <x:v>Jamie Brooks</x:v>
      </x:c>
      <x:c r="K34" s="6" t="n">
        <x:v>46074</x:v>
      </x:c>
      <x:c r="L34" s="6" t="n">
        <x:v>46210</x:v>
      </x:c>
      <x:c r="M34" s="6" t="n">
        <x:v>46225</x:v>
      </x:c>
      <x:c r="N34" s="8" t="n">
        <x:v>81200</x:v>
      </x:c>
      <x:c r="O34" t="str">
        <x:v>Professional Services</x:v>
      </x:c>
      <x:c r="P34" t="str">
        <x:v>No</x:v>
      </x:c>
      <x:c r="Q34" t="str">
        <x:v>No</x:v>
      </x:c>
      <x:c r="R34" s="6"/>
      <x:c r="S34" t="str">
        <x:f>IF(E34="","Unique",IF(COUNTIF($E$2:E34,E34)&gt;1,"Duplicate","Unique"))</x:f>
        <x:v>Unique</x:v>
      </x:c>
      <x:c r="T34" t="str">
        <x:f>IF(J34="Unassigned","Yes","No")</x:f>
        <x:v>No</x:v>
      </x:c>
      <x:c r="U34" t="str">
        <x:f>IF(AND(E34="",F34=""),"Yes","No")</x:f>
        <x:v>No</x:v>
      </x:c>
      <x:c r="V34" t="str">
        <x:f>IF(AND('Dashboard'!$B$2-L34&gt;30,I34&lt;&gt;"Closed Won",I34&lt;&gt;"Closed Lost"),"Yes","No")</x:f>
        <x:v>Yes</x:v>
      </x:c>
      <x:c r="W34" t="str">
        <x:f>IF(AND(M34&lt;&gt;"",M34&lt;'Dashboard'!$B$2,I34&lt;&gt;"Closed Won",I34&lt;&gt;"Closed Lost"),"Yes","No")</x:f>
        <x:v>Yes</x:v>
      </x:c>
      <x:c r="X34" t="str">
        <x:f>IF(OR(S34="Duplicate",T34="Yes",U34="Yes",D34="Unknown",W34="Yes"),"Yes","No")</x:f>
        <x:v>Yes</x:v>
      </x:c>
      <x:c r="Y34" t="n">
        <x:f>IF(S34="Duplicate",0,1)</x:f>
        <x:v>1</x:v>
      </x:c>
    </x:row>
    <x:row r="35">
      <x:c r="A35" t="str">
        <x:v>L-0034</x:v>
      </x:c>
      <x:c r="B35" t="str">
        <x:v>Liam</x:v>
      </x:c>
      <x:c r="C35" t="str">
        <x:v>Martinez</x:v>
      </x:c>
      <x:c r="D35" t="str">
        <x:v>Pioneer Tech</x:v>
      </x:c>
      <x:c r="E35" t="str">
        <x:v>liam.martinez892@mailhub.net</x:v>
      </x:c>
      <x:c r="F35" t="str">
        <x:v>835-899-4945</x:v>
      </x:c>
      <x:c r="G35" t="str">
        <x:v>AZ</x:v>
      </x:c>
      <x:c r="H35" t="str">
        <x:v>Website</x:v>
      </x:c>
      <x:c r="I35" t="str">
        <x:v>Qualified</x:v>
      </x:c>
      <x:c r="J35" t="str">
        <x:v>Alex Kim</x:v>
      </x:c>
      <x:c r="K35" s="6" t="n">
        <x:v>46102</x:v>
      </x:c>
      <x:c r="L35" s="6" t="n">
        <x:v>46148</x:v>
      </x:c>
      <x:c r="M35" s="6" t="n">
        <x:v>46156</x:v>
      </x:c>
      <x:c r="N35" s="8" t="n">
        <x:v>16900</x:v>
      </x:c>
      <x:c r="O35" t="str">
        <x:v>Biotech</x:v>
      </x:c>
      <x:c r="P35" t="str">
        <x:v>Yes</x:v>
      </x:c>
      <x:c r="Q35" t="str">
        <x:v>No</x:v>
      </x:c>
      <x:c r="R35" s="6"/>
      <x:c r="S35" t="str">
        <x:f>IF(E35="","Unique",IF(COUNTIF($E$2:E35,E35)&gt;1,"Duplicate","Unique"))</x:f>
        <x:v>Unique</x:v>
      </x:c>
      <x:c r="T35" t="str">
        <x:f>IF(J35="Unassigned","Yes","No")</x:f>
        <x:v>No</x:v>
      </x:c>
      <x:c r="U35" t="str">
        <x:f>IF(AND(E35="",F35=""),"Yes","No")</x:f>
        <x:v>No</x:v>
      </x:c>
      <x:c r="V35" t="str">
        <x:f>IF(AND('Dashboard'!$B$2-L35&gt;30,I35&lt;&gt;"Closed Won",I35&lt;&gt;"Closed Lost"),"Yes","No")</x:f>
        <x:v>Yes</x:v>
      </x:c>
      <x:c r="W35" t="str">
        <x:f>IF(AND(M35&lt;&gt;"",M35&lt;'Dashboard'!$B$2,I35&lt;&gt;"Closed Won",I35&lt;&gt;"Closed Lost"),"Yes","No")</x:f>
        <x:v>Yes</x:v>
      </x:c>
      <x:c r="X35" t="str">
        <x:f>IF(OR(S35="Duplicate",T35="Yes",U35="Yes",D35="Unknown",W35="Yes"),"Yes","No")</x:f>
        <x:v>Yes</x:v>
      </x:c>
      <x:c r="Y35" t="n">
        <x:f>IF(S35="Duplicate",0,1)</x:f>
        <x:v>1</x:v>
      </x:c>
    </x:row>
    <x:row r="36">
      <x:c r="A36" t="str">
        <x:v>L-0035</x:v>
      </x:c>
      <x:c r="B36" t="str">
        <x:v>James</x:v>
      </x:c>
      <x:c r="C36" t="str">
        <x:v>Rodriguez</x:v>
      </x:c>
      <x:c r="D36" t="str">
        <x:v>Prairie Health</x:v>
      </x:c>
      <x:c r="E36" t="str">
        <x:v>james.rodriguez589@prospect.co</x:v>
      </x:c>
      <x:c r="F36" t="str">
        <x:v>(917) 502-1359</x:v>
      </x:c>
      <x:c r="G36" t="str">
        <x:v>FL</x:v>
      </x:c>
      <x:c r="H36" t="str">
        <x:v>Outbound</x:v>
      </x:c>
      <x:c r="I36" t="str">
        <x:v>Closed Won</x:v>
      </x:c>
      <x:c r="J36" t="str">
        <x:v>Casey Patel</x:v>
      </x:c>
      <x:c r="K36" s="6" t="n">
        <x:v>46219</x:v>
      </x:c>
      <x:c r="L36" s="6" t="n">
        <x:v>46234</x:v>
      </x:c>
      <x:c r="M36" s="6"/>
      <x:c r="N36" s="8" t="n">
        <x:v>34000</x:v>
      </x:c>
      <x:c r="O36" t="str">
        <x:v>Financial Services</x:v>
      </x:c>
      <x:c r="P36" t="str">
        <x:v>Yes</x:v>
      </x:c>
      <x:c r="Q36" t="str">
        <x:v>Yes</x:v>
      </x:c>
      <x:c r="R36" s="6" t="n">
        <x:v>46234</x:v>
      </x:c>
      <x:c r="S36" t="str">
        <x:f>IF(E36="","Unique",IF(COUNTIF($E$2:E36,E36)&gt;1,"Duplicate","Unique"))</x:f>
        <x:v>Unique</x:v>
      </x:c>
      <x:c r="T36" t="str">
        <x:f>IF(J36="Unassigned","Yes","No")</x:f>
        <x:v>No</x:v>
      </x:c>
      <x:c r="U36" t="str">
        <x:f>IF(AND(E36="",F36=""),"Yes","No")</x:f>
        <x:v>No</x:v>
      </x:c>
      <x:c r="V36" t="str">
        <x:f>IF(AND('Dashboard'!$B$2-L36&gt;30,I36&lt;&gt;"Closed Won",I36&lt;&gt;"Closed Lost"),"Yes","No")</x:f>
        <x:v>No</x:v>
      </x:c>
      <x:c r="W36" t="str">
        <x:f>IF(AND(M36&lt;&gt;"",M36&lt;'Dashboard'!$B$2,I36&lt;&gt;"Closed Won",I36&lt;&gt;"Closed Lost"),"Yes","No")</x:f>
        <x:v>No</x:v>
      </x:c>
      <x:c r="X36" t="str">
        <x:f>IF(OR(S36="Duplicate",T36="Yes",U36="Yes",D36="Unknown",W36="Yes"),"Yes","No")</x:f>
        <x:v>No</x:v>
      </x:c>
      <x:c r="Y36" t="n">
        <x:f>IF(S36="Duplicate",0,1)</x:f>
        <x:v>1</x:v>
      </x:c>
    </x:row>
    <x:row r="37">
      <x:c r="A37" t="str">
        <x:v>L-0036</x:v>
      </x:c>
      <x:c r="B37" t="str">
        <x:v>Olivia</x:v>
      </x:c>
      <x:c r="C37" t="str">
        <x:v>Thompson</x:v>
      </x:c>
      <x:c r="D37" t="str">
        <x:v>Horizon Bio</x:v>
      </x:c>
      <x:c r="E37" t="str">
        <x:v>olivia.thompson750@examplebiz.com</x:v>
      </x:c>
      <x:c r="F37" t="str">
        <x:v>(293) 502-6352</x:v>
      </x:c>
      <x:c r="G37" t="str">
        <x:v>OH</x:v>
      </x:c>
      <x:c r="H37" t="str">
        <x:v>Website</x:v>
      </x:c>
      <x:c r="I37" t="str">
        <x:v>Opportunity</x:v>
      </x:c>
      <x:c r="J37" t="str">
        <x:v>Casey Patel</x:v>
      </x:c>
      <x:c r="K37" s="6" t="n">
        <x:v>46236</x:v>
      </x:c>
      <x:c r="L37" s="6" t="n">
        <x:v>46245</x:v>
      </x:c>
      <x:c r="M37" s="6" t="n">
        <x:v>46262</x:v>
      </x:c>
      <x:c r="N37" s="8" t="n">
        <x:v>5300</x:v>
      </x:c>
      <x:c r="O37" t="str">
        <x:v>Manufacturing</x:v>
      </x:c>
      <x:c r="P37" t="str">
        <x:v>Yes</x:v>
      </x:c>
      <x:c r="Q37" t="str">
        <x:v>No</x:v>
      </x:c>
      <x:c r="R37" s="6"/>
      <x:c r="S37" t="str">
        <x:f>IF(E37="","Unique",IF(COUNTIF($E$2:E37,E37)&gt;1,"Duplicate","Unique"))</x:f>
        <x:v>Unique</x:v>
      </x:c>
      <x:c r="T37" t="str">
        <x:f>IF(J37="Unassigned","Yes","No")</x:f>
        <x:v>No</x:v>
      </x:c>
      <x:c r="U37" t="str">
        <x:f>IF(AND(E37="",F37=""),"Yes","No")</x:f>
        <x:v>No</x:v>
      </x:c>
      <x:c r="V37" t="str">
        <x:f>IF(AND('Dashboard'!$B$2-L37&gt;30,I37&lt;&gt;"Closed Won",I37&lt;&gt;"Closed Lost"),"Yes","No")</x:f>
        <x:v>No</x:v>
      </x:c>
      <x:c r="W37" t="str">
        <x:f>IF(AND(M37&lt;&gt;"",M37&lt;'Dashboard'!$B$2,I37&lt;&gt;"Closed Won",I37&lt;&gt;"Closed Lost"),"Yes","No")</x:f>
        <x:v>No</x:v>
      </x:c>
      <x:c r="X37" t="str">
        <x:f>IF(OR(S37="Duplicate",T37="Yes",U37="Yes",D37="Unknown",W37="Yes"),"Yes","No")</x:f>
        <x:v>No</x:v>
      </x:c>
      <x:c r="Y37" t="n">
        <x:f>IF(S37="Duplicate",0,1)</x:f>
        <x:v>1</x:v>
      </x:c>
    </x:row>
    <x:row r="38">
      <x:c r="A38" t="str">
        <x:v>L-0037</x:v>
      </x:c>
      <x:c r="B38" t="str">
        <x:v>Noah</x:v>
      </x:c>
      <x:c r="C38" t="str">
        <x:v>Moore</x:v>
      </x:c>
      <x:c r="D38" t="str">
        <x:v>Brightpath Health</x:v>
      </x:c>
      <x:c r="E38" t="str">
        <x:v>noah.moore15@prospect.co</x:v>
      </x:c>
      <x:c r="F38" t="str">
        <x:v>(750) 326-8451</x:v>
      </x:c>
      <x:c r="G38" t="str">
        <x:v>FL</x:v>
      </x:c>
      <x:c r="H38" t="str">
        <x:v>Email Campaign</x:v>
      </x:c>
      <x:c r="I38" t="str">
        <x:v>Opportunity</x:v>
      </x:c>
      <x:c r="J38" t="str">
        <x:v>Morgan Reed</x:v>
      </x:c>
      <x:c r="K38" s="6" t="n">
        <x:v>46145</x:v>
      </x:c>
      <x:c r="L38" s="6" t="n">
        <x:v>46247</x:v>
      </x:c>
      <x:c r="M38" s="6" t="n">
        <x:v>46267</x:v>
      </x:c>
      <x:c r="N38" s="8" t="n">
        <x:v>32700</x:v>
      </x:c>
      <x:c r="O38" t="str">
        <x:v>Manufacturing</x:v>
      </x:c>
      <x:c r="P38" t="str">
        <x:v>Yes</x:v>
      </x:c>
      <x:c r="Q38" t="str">
        <x:v>No</x:v>
      </x:c>
      <x:c r="R38" s="6"/>
      <x:c r="S38" t="str">
        <x:f>IF(E38="","Unique",IF(COUNTIF($E$2:E38,E38)&gt;1,"Duplicate","Unique"))</x:f>
        <x:v>Unique</x:v>
      </x:c>
      <x:c r="T38" t="str">
        <x:f>IF(J38="Unassigned","Yes","No")</x:f>
        <x:v>No</x:v>
      </x:c>
      <x:c r="U38" t="str">
        <x:f>IF(AND(E38="",F38=""),"Yes","No")</x:f>
        <x:v>No</x:v>
      </x:c>
      <x:c r="V38" t="str">
        <x:f>IF(AND('Dashboard'!$B$2-L38&gt;30,I38&lt;&gt;"Closed Won",I38&lt;&gt;"Closed Lost"),"Yes","No")</x:f>
        <x:v>No</x:v>
      </x:c>
      <x:c r="W38" t="str">
        <x:f>IF(AND(M38&lt;&gt;"",M38&lt;'Dashboard'!$B$2,I38&lt;&gt;"Closed Won",I38&lt;&gt;"Closed Lost"),"Yes","No")</x:f>
        <x:v>No</x:v>
      </x:c>
      <x:c r="X38" t="str">
        <x:f>IF(OR(S38="Duplicate",T38="Yes",U38="Yes",D38="Unknown",W38="Yes"),"Yes","No")</x:f>
        <x:v>No</x:v>
      </x:c>
      <x:c r="Y38" t="n">
        <x:f>IF(S38="Duplicate",0,1)</x:f>
        <x:v>1</x:v>
      </x:c>
    </x:row>
    <x:row r="39">
      <x:c r="A39" t="str">
        <x:v>L-0038</x:v>
      </x:c>
      <x:c r="B39" t="str">
        <x:v>Harper</x:v>
      </x:c>
      <x:c r="C39" t="str">
        <x:v>Martinez</x:v>
      </x:c>
      <x:c r="D39" t="str">
        <x:v>Vertex Solutions</x:v>
      </x:c>
      <x:c r="E39" t="str">
        <x:v>harper.martinez139@mailhub.net</x:v>
      </x:c>
      <x:c r="F39" t="str">
        <x:v>(665) 579-9850</x:v>
      </x:c>
      <x:c r="G39" t="str">
        <x:v>CA</x:v>
      </x:c>
      <x:c r="H39" t="str">
        <x:v>Website</x:v>
      </x:c>
      <x:c r="I39" t="str">
        <x:v>New</x:v>
      </x:c>
      <x:c r="J39" t="str">
        <x:v>Alex Kim</x:v>
      </x:c>
      <x:c r="K39" s="6" t="n">
        <x:v>46120</x:v>
      </x:c>
      <x:c r="L39" s="6" t="n">
        <x:v>46149</x:v>
      </x:c>
      <x:c r="M39" s="6" t="n">
        <x:v>46155</x:v>
      </x:c>
      <x:c r="N39" s="8" t="n">
        <x:v>21900</x:v>
      </x:c>
      <x:c r="O39" t="str">
        <x:v>Technology</x:v>
      </x:c>
      <x:c r="P39" t="str">
        <x:v>No</x:v>
      </x:c>
      <x:c r="Q39" t="str">
        <x:v>No</x:v>
      </x:c>
      <x:c r="R39" s="6"/>
      <x:c r="S39" t="str">
        <x:f>IF(E39="","Unique",IF(COUNTIF($E$2:E39,E39)&gt;1,"Duplicate","Unique"))</x:f>
        <x:v>Unique</x:v>
      </x:c>
      <x:c r="T39" t="str">
        <x:f>IF(J39="Unassigned","Yes","No")</x:f>
        <x:v>No</x:v>
      </x:c>
      <x:c r="U39" t="str">
        <x:f>IF(AND(E39="",F39=""),"Yes","No")</x:f>
        <x:v>No</x:v>
      </x:c>
      <x:c r="V39" t="str">
        <x:f>IF(AND('Dashboard'!$B$2-L39&gt;30,I39&lt;&gt;"Closed Won",I39&lt;&gt;"Closed Lost"),"Yes","No")</x:f>
        <x:v>Yes</x:v>
      </x:c>
      <x:c r="W39" t="str">
        <x:f>IF(AND(M39&lt;&gt;"",M39&lt;'Dashboard'!$B$2,I39&lt;&gt;"Closed Won",I39&lt;&gt;"Closed Lost"),"Yes","No")</x:f>
        <x:v>Yes</x:v>
      </x:c>
      <x:c r="X39" t="str">
        <x:f>IF(OR(S39="Duplicate",T39="Yes",U39="Yes",D39="Unknown",W39="Yes"),"Yes","No")</x:f>
        <x:v>Yes</x:v>
      </x:c>
      <x:c r="Y39" t="n">
        <x:f>IF(S39="Duplicate",0,1)</x:f>
        <x:v>1</x:v>
      </x:c>
    </x:row>
    <x:row r="40">
      <x:c r="A40" t="str">
        <x:v>L-0039</x:v>
      </x:c>
      <x:c r="B40" t="str">
        <x:v>Logan</x:v>
      </x:c>
      <x:c r="C40" t="str">
        <x:v>Lee</x:v>
      </x:c>
      <x:c r="D40" t="str">
        <x:v>Pioneer Tech</x:v>
      </x:c>
      <x:c r="E40" t="str">
        <x:v>logan.lee658@northmail.com</x:v>
      </x:c>
      <x:c r="F40" t="str">
        <x:v>(252) 541-4990</x:v>
      </x:c>
      <x:c r="G40" t="str">
        <x:v>AZ</x:v>
      </x:c>
      <x:c r="H40" t="str">
        <x:v>Referral</x:v>
      </x:c>
      <x:c r="I40" t="str">
        <x:v>Closed Lost</x:v>
      </x:c>
      <x:c r="J40" t="str">
        <x:v>Taylor Morgan</x:v>
      </x:c>
      <x:c r="K40" s="6" t="n">
        <x:v>46036</x:v>
      </x:c>
      <x:c r="L40" s="6" t="n">
        <x:v>46152</x:v>
      </x:c>
      <x:c r="M40" s="6"/>
      <x:c r="N40" s="8" t="n">
        <x:v>10100</x:v>
      </x:c>
      <x:c r="O40" t="str">
        <x:v>Healthcare</x:v>
      </x:c>
      <x:c r="P40" t="str">
        <x:v>Yes</x:v>
      </x:c>
      <x:c r="Q40" t="str">
        <x:v>No</x:v>
      </x:c>
      <x:c r="R40" s="6" t="n">
        <x:v>46155</x:v>
      </x:c>
      <x:c r="S40" t="str">
        <x:f>IF(E40="","Unique",IF(COUNTIF($E$2:E40,E40)&gt;1,"Duplicate","Unique"))</x:f>
        <x:v>Unique</x:v>
      </x:c>
      <x:c r="T40" t="str">
        <x:f>IF(J40="Unassigned","Yes","No")</x:f>
        <x:v>No</x:v>
      </x:c>
      <x:c r="U40" t="str">
        <x:f>IF(AND(E40="",F40=""),"Yes","No")</x:f>
        <x:v>No</x:v>
      </x:c>
      <x:c r="V40" t="str">
        <x:f>IF(AND('Dashboard'!$B$2-L40&gt;30,I40&lt;&gt;"Closed Won",I40&lt;&gt;"Closed Lost"),"Yes","No")</x:f>
        <x:v>No</x:v>
      </x:c>
      <x:c r="W40" t="str">
        <x:f>IF(AND(M40&lt;&gt;"",M40&lt;'Dashboard'!$B$2,I40&lt;&gt;"Closed Won",I40&lt;&gt;"Closed Lost"),"Yes","No")</x:f>
        <x:v>No</x:v>
      </x:c>
      <x:c r="X40" t="str">
        <x:f>IF(OR(S40="Duplicate",T40="Yes",U40="Yes",D40="Unknown",W40="Yes"),"Yes","No")</x:f>
        <x:v>No</x:v>
      </x:c>
      <x:c r="Y40" t="n">
        <x:f>IF(S40="Duplicate",0,1)</x:f>
        <x:v>1</x:v>
      </x:c>
    </x:row>
    <x:row r="41">
      <x:c r="A41" t="str">
        <x:v>L-0040</x:v>
      </x:c>
      <x:c r="B41" t="str">
        <x:v>Ethan</x:v>
      </x:c>
      <x:c r="C41" t="str">
        <x:v>Brown</x:v>
      </x:c>
      <x:c r="D41" t="str">
        <x:v>Northstar Labs</x:v>
      </x:c>
      <x:c r="E41" t="str">
        <x:v>ethan.brown54@examplebiz.com</x:v>
      </x:c>
      <x:c r="F41" t="str">
        <x:v>(960) 631-9619</x:v>
      </x:c>
      <x:c r="G41" t="str">
        <x:v>CO</x:v>
      </x:c>
      <x:c r="H41" t="str">
        <x:v>Referral</x:v>
      </x:c>
      <x:c r="I41" t="str">
        <x:v>Closed Won</x:v>
      </x:c>
      <x:c r="J41" t="str">
        <x:v>Casey Patel</x:v>
      </x:c>
      <x:c r="K41" s="6" t="n">
        <x:v>46096</x:v>
      </x:c>
      <x:c r="L41" s="6" t="n">
        <x:v>46178</x:v>
      </x:c>
      <x:c r="M41" s="6"/>
      <x:c r="N41" s="8" t="n">
        <x:v>3800</x:v>
      </x:c>
      <x:c r="O41" t="str">
        <x:v>Manufacturing</x:v>
      </x:c>
      <x:c r="P41" t="str">
        <x:v>Yes</x:v>
      </x:c>
      <x:c r="Q41" t="str">
        <x:v>Yes</x:v>
      </x:c>
      <x:c r="R41" s="6" t="n">
        <x:v>46181</x:v>
      </x:c>
      <x:c r="S41" t="str">
        <x:f>IF(E41="","Unique",IF(COUNTIF($E$2:E41,E41)&gt;1,"Duplicate","Unique"))</x:f>
        <x:v>Unique</x:v>
      </x:c>
      <x:c r="T41" t="str">
        <x:f>IF(J41="Unassigned","Yes","No")</x:f>
        <x:v>No</x:v>
      </x:c>
      <x:c r="U41" t="str">
        <x:f>IF(AND(E41="",F41=""),"Yes","No")</x:f>
        <x:v>No</x:v>
      </x:c>
      <x:c r="V41" t="str">
        <x:f>IF(AND('Dashboard'!$B$2-L41&gt;30,I41&lt;&gt;"Closed Won",I41&lt;&gt;"Closed Lost"),"Yes","No")</x:f>
        <x:v>No</x:v>
      </x:c>
      <x:c r="W41" t="str">
        <x:f>IF(AND(M41&lt;&gt;"",M41&lt;'Dashboard'!$B$2,I41&lt;&gt;"Closed Won",I41&lt;&gt;"Closed Lost"),"Yes","No")</x:f>
        <x:v>No</x:v>
      </x:c>
      <x:c r="X41" t="str">
        <x:f>IF(OR(S41="Duplicate",T41="Yes",U41="Yes",D41="Unknown",W41="Yes"),"Yes","No")</x:f>
        <x:v>No</x:v>
      </x:c>
      <x:c r="Y41" t="n">
        <x:f>IF(S41="Duplicate",0,1)</x:f>
        <x:v>1</x:v>
      </x:c>
    </x:row>
    <x:row r="42">
      <x:c r="A42" t="str">
        <x:v>L-0041</x:v>
      </x:c>
      <x:c r="B42" t="str">
        <x:v>Benjamin</x:v>
      </x:c>
      <x:c r="C42" t="str">
        <x:v>Thomas</x:v>
      </x:c>
      <x:c r="D42" t="str">
        <x:v>Vertex Solutions</x:v>
      </x:c>
      <x:c r="E42" t="str">
        <x:v>benjamin.thomas282@prospect.co</x:v>
      </x:c>
      <x:c r="F42" t="str">
        <x:v>(591) 811-9692</x:v>
      </x:c>
      <x:c r="G42" t="str">
        <x:v>NC</x:v>
      </x:c>
      <x:c r="H42" t="str">
        <x:v>LinkedIn</x:v>
      </x:c>
      <x:c r="I42" t="str">
        <x:v>Qualified</x:v>
      </x:c>
      <x:c r="J42" t="str">
        <x:v>Taylor Morgan</x:v>
      </x:c>
      <x:c r="K42" s="6" t="n">
        <x:v>46226</x:v>
      </x:c>
      <x:c r="L42" s="6" t="n">
        <x:v>46236</x:v>
      </x:c>
      <x:c r="M42" s="6" t="n">
        <x:v>46258</x:v>
      </x:c>
      <x:c r="N42" s="8" t="n">
        <x:v>14700</x:v>
      </x:c>
      <x:c r="O42" t="str">
        <x:v>Technology</x:v>
      </x:c>
      <x:c r="P42" t="str">
        <x:v>Yes</x:v>
      </x:c>
      <x:c r="Q42" t="str">
        <x:v>No</x:v>
      </x:c>
      <x:c r="R42" s="6"/>
      <x:c r="S42" t="str">
        <x:f>IF(E42="","Unique",IF(COUNTIF($E$2:E42,E42)&gt;1,"Duplicate","Unique"))</x:f>
        <x:v>Unique</x:v>
      </x:c>
      <x:c r="T42" t="str">
        <x:f>IF(J42="Unassigned","Yes","No")</x:f>
        <x:v>No</x:v>
      </x:c>
      <x:c r="U42" t="str">
        <x:f>IF(AND(E42="",F42=""),"Yes","No")</x:f>
        <x:v>No</x:v>
      </x:c>
      <x:c r="V42" t="str">
        <x:f>IF(AND('Dashboard'!$B$2-L42&gt;30,I42&lt;&gt;"Closed Won",I42&lt;&gt;"Closed Lost"),"Yes","No")</x:f>
        <x:v>No</x:v>
      </x:c>
      <x:c r="W42" t="str">
        <x:f>IF(AND(M42&lt;&gt;"",M42&lt;'Dashboard'!$B$2,I42&lt;&gt;"Closed Won",I42&lt;&gt;"Closed Lost"),"Yes","No")</x:f>
        <x:v>No</x:v>
      </x:c>
      <x:c r="X42" t="str">
        <x:f>IF(OR(S42="Duplicate",T42="Yes",U42="Yes",D42="Unknown",W42="Yes"),"Yes","No")</x:f>
        <x:v>No</x:v>
      </x:c>
      <x:c r="Y42" t="n">
        <x:f>IF(S42="Duplicate",0,1)</x:f>
        <x:v>1</x:v>
      </x:c>
    </x:row>
    <x:row r="43">
      <x:c r="A43" t="str">
        <x:v>L-0042</x:v>
      </x:c>
      <x:c r="B43" t="str">
        <x:v>Amelia</x:v>
      </x:c>
      <x:c r="C43" t="str">
        <x:v>Taylor</x:v>
      </x:c>
      <x:c r="D43" t="str">
        <x:v>Summit Analytics</x:v>
      </x:c>
      <x:c r="E43" t="str">
        <x:v>amelia.taylor96@mailhub.net</x:v>
      </x:c>
      <x:c r="F43" t="str">
        <x:v>(299) 962-7105</x:v>
      </x:c>
      <x:c r="G43" t="str">
        <x:v>AZ</x:v>
      </x:c>
      <x:c r="H43" t="str">
        <x:v>Referral</x:v>
      </x:c>
      <x:c r="I43" t="str">
        <x:v>Contacted</x:v>
      </x:c>
      <x:c r="J43" t="str">
        <x:v>Jordan Lee</x:v>
      </x:c>
      <x:c r="K43" s="6" t="n">
        <x:v>46207</x:v>
      </x:c>
      <x:c r="L43" s="6" t="n">
        <x:v>46250</x:v>
      </x:c>
      <x:c r="M43" s="6" t="n">
        <x:v>46268</x:v>
      </x:c>
      <x:c r="N43" s="8" t="n">
        <x:v>8000</x:v>
      </x:c>
      <x:c r="O43" t="str">
        <x:v>Biotech</x:v>
      </x:c>
      <x:c r="P43" t="str">
        <x:v>No</x:v>
      </x:c>
      <x:c r="Q43" t="str">
        <x:v>No</x:v>
      </x:c>
      <x:c r="R43" s="6"/>
      <x:c r="S43" t="str">
        <x:f>IF(E43="","Unique",IF(COUNTIF($E$2:E43,E43)&gt;1,"Duplicate","Unique"))</x:f>
        <x:v>Unique</x:v>
      </x:c>
      <x:c r="T43" t="str">
        <x:f>IF(J43="Unassigned","Yes","No")</x:f>
        <x:v>No</x:v>
      </x:c>
      <x:c r="U43" t="str">
        <x:f>IF(AND(E43="",F43=""),"Yes","No")</x:f>
        <x:v>No</x:v>
      </x:c>
      <x:c r="V43" t="str">
        <x:f>IF(AND('Dashboard'!$B$2-L43&gt;30,I43&lt;&gt;"Closed Won",I43&lt;&gt;"Closed Lost"),"Yes","No")</x:f>
        <x:v>No</x:v>
      </x:c>
      <x:c r="W43" t="str">
        <x:f>IF(AND(M43&lt;&gt;"",M43&lt;'Dashboard'!$B$2,I43&lt;&gt;"Closed Won",I43&lt;&gt;"Closed Lost"),"Yes","No")</x:f>
        <x:v>No</x:v>
      </x:c>
      <x:c r="X43" t="str">
        <x:f>IF(OR(S43="Duplicate",T43="Yes",U43="Yes",D43="Unknown",W43="Yes"),"Yes","No")</x:f>
        <x:v>No</x:v>
      </x:c>
      <x:c r="Y43" t="n">
        <x:f>IF(S43="Duplicate",0,1)</x:f>
        <x:v>1</x:v>
      </x:c>
    </x:row>
    <x:row r="44">
      <x:c r="A44" t="str">
        <x:v>L-0043</x:v>
      </x:c>
      <x:c r="B44" t="str">
        <x:v>Luna</x:v>
      </x:c>
      <x:c r="C44" t="str">
        <x:v>Martin</x:v>
      </x:c>
      <x:c r="D44" t="str">
        <x:v>Apex Manufacturing</x:v>
      </x:c>
      <x:c r="E44" t="str">
        <x:v>luna.martin588@examplebiz.com</x:v>
      </x:c>
      <x:c r="F44" t="str"/>
      <x:c r="G44" t="str">
        <x:v>OH</x:v>
      </x:c>
      <x:c r="H44" t="str">
        <x:v>Webinar</x:v>
      </x:c>
      <x:c r="I44" t="str">
        <x:v>Closed Won</x:v>
      </x:c>
      <x:c r="J44" t="str">
        <x:v>Casey Patel</x:v>
      </x:c>
      <x:c r="K44" s="6" t="n">
        <x:v>46157</x:v>
      </x:c>
      <x:c r="L44" s="6" t="n">
        <x:v>46228</x:v>
      </x:c>
      <x:c r="M44" s="6"/>
      <x:c r="N44" s="8" t="n">
        <x:v>32800</x:v>
      </x:c>
      <x:c r="O44" t="str">
        <x:v>Manufacturing</x:v>
      </x:c>
      <x:c r="P44" t="str">
        <x:v>Yes</x:v>
      </x:c>
      <x:c r="Q44" t="str">
        <x:v>Yes</x:v>
      </x:c>
      <x:c r="R44" s="6" t="n">
        <x:v>46233</x:v>
      </x:c>
      <x:c r="S44" t="str">
        <x:f>IF(E44="","Unique",IF(COUNTIF($E$2:E44,E44)&gt;1,"Duplicate","Unique"))</x:f>
        <x:v>Unique</x:v>
      </x:c>
      <x:c r="T44" t="str">
        <x:f>IF(J44="Unassigned","Yes","No")</x:f>
        <x:v>No</x:v>
      </x:c>
      <x:c r="U44" t="str">
        <x:f>IF(AND(E44="",F44=""),"Yes","No")</x:f>
        <x:v>No</x:v>
      </x:c>
      <x:c r="V44" t="str">
        <x:f>IF(AND('Dashboard'!$B$2-L44&gt;30,I44&lt;&gt;"Closed Won",I44&lt;&gt;"Closed Lost"),"Yes","No")</x:f>
        <x:v>No</x:v>
      </x:c>
      <x:c r="W44" t="str">
        <x:f>IF(AND(M44&lt;&gt;"",M44&lt;'Dashboard'!$B$2,I44&lt;&gt;"Closed Won",I44&lt;&gt;"Closed Lost"),"Yes","No")</x:f>
        <x:v>No</x:v>
      </x:c>
      <x:c r="X44" t="str">
        <x:f>IF(OR(S44="Duplicate",T44="Yes",U44="Yes",D44="Unknown",W44="Yes"),"Yes","No")</x:f>
        <x:v>No</x:v>
      </x:c>
      <x:c r="Y44" t="n">
        <x:f>IF(S44="Duplicate",0,1)</x:f>
        <x:v>1</x:v>
      </x:c>
    </x:row>
    <x:row r="45">
      <x:c r="A45" t="str">
        <x:v>L-0044</x:v>
      </x:c>
      <x:c r="B45" t="str">
        <x:v>Evelyn</x:v>
      </x:c>
      <x:c r="C45" t="str">
        <x:v>Miller</x:v>
      </x:c>
      <x:c r="D45" t="str">
        <x:v>Silverline Foods</x:v>
      </x:c>
      <x:c r="E45" t="str">
        <x:v>evelyn.miller160@examplebiz.com</x:v>
      </x:c>
      <x:c r="F45" t="str">
        <x:v>(973) 832-1815</x:v>
      </x:c>
      <x:c r="G45" t="str">
        <x:v>NC</x:v>
      </x:c>
      <x:c r="H45" t="str">
        <x:v>Referral</x:v>
      </x:c>
      <x:c r="I45" t="str">
        <x:v>Contacted</x:v>
      </x:c>
      <x:c r="J45" t="str">
        <x:v>Jordan Lee</x:v>
      </x:c>
      <x:c r="K45" s="6" t="n">
        <x:v>46062</x:v>
      </x:c>
      <x:c r="L45" s="6" t="n">
        <x:v>46145</x:v>
      </x:c>
      <x:c r="M45" s="6" t="n">
        <x:v>46166</x:v>
      </x:c>
      <x:c r="N45" s="8" t="n">
        <x:v>51700</x:v>
      </x:c>
      <x:c r="O45" t="str">
        <x:v>Professional Services</x:v>
      </x:c>
      <x:c r="P45" t="str">
        <x:v>No</x:v>
      </x:c>
      <x:c r="Q45" t="str">
        <x:v>No</x:v>
      </x:c>
      <x:c r="R45" s="6"/>
      <x:c r="S45" t="str">
        <x:f>IF(E45="","Unique",IF(COUNTIF($E$2:E45,E45)&gt;1,"Duplicate","Unique"))</x:f>
        <x:v>Unique</x:v>
      </x:c>
      <x:c r="T45" t="str">
        <x:f>IF(J45="Unassigned","Yes","No")</x:f>
        <x:v>No</x:v>
      </x:c>
      <x:c r="U45" t="str">
        <x:f>IF(AND(E45="",F45=""),"Yes","No")</x:f>
        <x:v>No</x:v>
      </x:c>
      <x:c r="V45" t="str">
        <x:f>IF(AND('Dashboard'!$B$2-L45&gt;30,I45&lt;&gt;"Closed Won",I45&lt;&gt;"Closed Lost"),"Yes","No")</x:f>
        <x:v>Yes</x:v>
      </x:c>
      <x:c r="W45" t="str">
        <x:f>IF(AND(M45&lt;&gt;"",M45&lt;'Dashboard'!$B$2,I45&lt;&gt;"Closed Won",I45&lt;&gt;"Closed Lost"),"Yes","No")</x:f>
        <x:v>Yes</x:v>
      </x:c>
      <x:c r="X45" t="str">
        <x:f>IF(OR(S45="Duplicate",T45="Yes",U45="Yes",D45="Unknown",W45="Yes"),"Yes","No")</x:f>
        <x:v>Yes</x:v>
      </x:c>
      <x:c r="Y45" t="n">
        <x:f>IF(S45="Duplicate",0,1)</x:f>
        <x:v>1</x:v>
      </x:c>
    </x:row>
    <x:row r="46">
      <x:c r="A46" t="str">
        <x:v>L-0045</x:v>
      </x:c>
      <x:c r="B46" t="str">
        <x:v>Amelia</x:v>
      </x:c>
      <x:c r="C46" t="str">
        <x:v>Thompson</x:v>
      </x:c>
      <x:c r="D46" t="str">
        <x:v>Peakline Systems</x:v>
      </x:c>
      <x:c r="E46" t="str">
        <x:v>amelia.thompson510@mailhub.net</x:v>
      </x:c>
      <x:c r="F46" t="str">
        <x:v>(380) 332-7229</x:v>
      </x:c>
      <x:c r="G46" t="str">
        <x:v>FL</x:v>
      </x:c>
      <x:c r="H46" t="str">
        <x:v>Referral</x:v>
      </x:c>
      <x:c r="I46" t="str">
        <x:v>Contacted</x:v>
      </x:c>
      <x:c r="J46" t="str">
        <x:v>Jordan Lee</x:v>
      </x:c>
      <x:c r="K46" s="6" t="n">
        <x:v>46211</x:v>
      </x:c>
      <x:c r="L46" s="6" t="n">
        <x:v>46227</x:v>
      </x:c>
      <x:c r="M46" s="6" t="n">
        <x:v>46239</x:v>
      </x:c>
      <x:c r="N46" s="8" t="n">
        <x:v>29600</x:v>
      </x:c>
      <x:c r="O46" t="str">
        <x:v>Healthcare</x:v>
      </x:c>
      <x:c r="P46" t="str">
        <x:v>No</x:v>
      </x:c>
      <x:c r="Q46" t="str">
        <x:v>No</x:v>
      </x:c>
      <x:c r="R46" s="6"/>
      <x:c r="S46" t="str">
        <x:f>IF(E46="","Unique",IF(COUNTIF($E$2:E46,E46)&gt;1,"Duplicate","Unique"))</x:f>
        <x:v>Unique</x:v>
      </x:c>
      <x:c r="T46" t="str">
        <x:f>IF(J46="Unassigned","Yes","No")</x:f>
        <x:v>No</x:v>
      </x:c>
      <x:c r="U46" t="str">
        <x:f>IF(AND(E46="",F46=""),"Yes","No")</x:f>
        <x:v>No</x:v>
      </x:c>
      <x:c r="V46" t="str">
        <x:f>IF(AND('Dashboard'!$B$2-L46&gt;30,I46&lt;&gt;"Closed Won",I46&lt;&gt;"Closed Lost"),"Yes","No")</x:f>
        <x:v>No</x:v>
      </x:c>
      <x:c r="W46" t="str">
        <x:f>IF(AND(M46&lt;&gt;"",M46&lt;'Dashboard'!$B$2,I46&lt;&gt;"Closed Won",I46&lt;&gt;"Closed Lost"),"Yes","No")</x:f>
        <x:v>Yes</x:v>
      </x:c>
      <x:c r="X46" t="str">
        <x:f>IF(OR(S46="Duplicate",T46="Yes",U46="Yes",D46="Unknown",W46="Yes"),"Yes","No")</x:f>
        <x:v>Yes</x:v>
      </x:c>
      <x:c r="Y46" t="n">
        <x:f>IF(S46="Duplicate",0,1)</x:f>
        <x:v>1</x:v>
      </x:c>
    </x:row>
    <x:row r="47">
      <x:c r="A47" t="str">
        <x:v>L-0046</x:v>
      </x:c>
      <x:c r="B47" t="str">
        <x:v>James</x:v>
      </x:c>
      <x:c r="C47" t="str">
        <x:v>Martinez</x:v>
      </x:c>
      <x:c r="D47" t="str">
        <x:v>Summit Analytics</x:v>
      </x:c>
      <x:c r="E47" t="str">
        <x:v>james.martinez448@northmail.com</x:v>
      </x:c>
      <x:c r="F47" t="str">
        <x:v>(450) 646-7560</x:v>
      </x:c>
      <x:c r="G47" t="str">
        <x:v>CO</x:v>
      </x:c>
      <x:c r="H47" t="str">
        <x:v>Outbound</x:v>
      </x:c>
      <x:c r="I47" t="str">
        <x:v>New</x:v>
      </x:c>
      <x:c r="J47" t="str">
        <x:v>Jordan Lee</x:v>
      </x:c>
      <x:c r="K47" s="6" t="n">
        <x:v>46088</x:v>
      </x:c>
      <x:c r="L47" s="6" t="n">
        <x:v>46205</x:v>
      </x:c>
      <x:c r="M47" s="6" t="n">
        <x:v>46230</x:v>
      </x:c>
      <x:c r="N47" s="8" t="n">
        <x:v>78400</x:v>
      </x:c>
      <x:c r="O47" t="str">
        <x:v>Professional Services</x:v>
      </x:c>
      <x:c r="P47" t="str">
        <x:v>No</x:v>
      </x:c>
      <x:c r="Q47" t="str">
        <x:v>No</x:v>
      </x:c>
      <x:c r="R47" s="6"/>
      <x:c r="S47" t="str">
        <x:f>IF(E47="","Unique",IF(COUNTIF($E$2:E47,E47)&gt;1,"Duplicate","Unique"))</x:f>
        <x:v>Unique</x:v>
      </x:c>
      <x:c r="T47" t="str">
        <x:f>IF(J47="Unassigned","Yes","No")</x:f>
        <x:v>No</x:v>
      </x:c>
      <x:c r="U47" t="str">
        <x:f>IF(AND(E47="",F47=""),"Yes","No")</x:f>
        <x:v>No</x:v>
      </x:c>
      <x:c r="V47" t="str">
        <x:f>IF(AND('Dashboard'!$B$2-L47&gt;30,I47&lt;&gt;"Closed Won",I47&lt;&gt;"Closed Lost"),"Yes","No")</x:f>
        <x:v>Yes</x:v>
      </x:c>
      <x:c r="W47" t="str">
        <x:f>IF(AND(M47&lt;&gt;"",M47&lt;'Dashboard'!$B$2,I47&lt;&gt;"Closed Won",I47&lt;&gt;"Closed Lost"),"Yes","No")</x:f>
        <x:v>Yes</x:v>
      </x:c>
      <x:c r="X47" t="str">
        <x:f>IF(OR(S47="Duplicate",T47="Yes",U47="Yes",D47="Unknown",W47="Yes"),"Yes","No")</x:f>
        <x:v>Yes</x:v>
      </x:c>
      <x:c r="Y47" t="n">
        <x:f>IF(S47="Duplicate",0,1)</x:f>
        <x:v>1</x:v>
      </x:c>
    </x:row>
    <x:row r="48">
      <x:c r="A48" t="str">
        <x:v>L-0047</x:v>
      </x:c>
      <x:c r="B48" t="str">
        <x:v>Sophia</x:v>
      </x:c>
      <x:c r="C48" t="str">
        <x:v>Miller</x:v>
      </x:c>
      <x:c r="D48" t="str">
        <x:v>Cedarworks</x:v>
      </x:c>
      <x:c r="E48" t="str">
        <x:v>sophia.miller779@mailhub.net</x:v>
      </x:c>
      <x:c r="F48" t="str">
        <x:v>898-778-6295</x:v>
      </x:c>
      <x:c r="G48" t="str">
        <x:v>OH</x:v>
      </x:c>
      <x:c r="H48" t="str">
        <x:v>Website</x:v>
      </x:c>
      <x:c r="I48" t="str">
        <x:v>Closed Lost</x:v>
      </x:c>
      <x:c r="J48" t="str">
        <x:v>Alex Kim</x:v>
      </x:c>
      <x:c r="K48" s="6" t="n">
        <x:v>46086</x:v>
      </x:c>
      <x:c r="L48" s="6" t="n">
        <x:v>46212</x:v>
      </x:c>
      <x:c r="M48" s="6"/>
      <x:c r="N48" s="8" t="n">
        <x:v>40800</x:v>
      </x:c>
      <x:c r="O48" t="str">
        <x:v>Manufacturing</x:v>
      </x:c>
      <x:c r="P48" t="str">
        <x:v>Yes</x:v>
      </x:c>
      <x:c r="Q48" t="str">
        <x:v>No</x:v>
      </x:c>
      <x:c r="R48" s="6" t="n">
        <x:v>46216</x:v>
      </x:c>
      <x:c r="S48" t="str">
        <x:f>IF(E48="","Unique",IF(COUNTIF($E$2:E48,E48)&gt;1,"Duplicate","Unique"))</x:f>
        <x:v>Unique</x:v>
      </x:c>
      <x:c r="T48" t="str">
        <x:f>IF(J48="Unassigned","Yes","No")</x:f>
        <x:v>No</x:v>
      </x:c>
      <x:c r="U48" t="str">
        <x:f>IF(AND(E48="",F48=""),"Yes","No")</x:f>
        <x:v>No</x:v>
      </x:c>
      <x:c r="V48" t="str">
        <x:f>IF(AND('Dashboard'!$B$2-L48&gt;30,I48&lt;&gt;"Closed Won",I48&lt;&gt;"Closed Lost"),"Yes","No")</x:f>
        <x:v>No</x:v>
      </x:c>
      <x:c r="W48" t="str">
        <x:f>IF(AND(M48&lt;&gt;"",M48&lt;'Dashboard'!$B$2,I48&lt;&gt;"Closed Won",I48&lt;&gt;"Closed Lost"),"Yes","No")</x:f>
        <x:v>No</x:v>
      </x:c>
      <x:c r="X48" t="str">
        <x:f>IF(OR(S48="Duplicate",T48="Yes",U48="Yes",D48="Unknown",W48="Yes"),"Yes","No")</x:f>
        <x:v>No</x:v>
      </x:c>
      <x:c r="Y48" t="n">
        <x:f>IF(S48="Duplicate",0,1)</x:f>
        <x:v>1</x:v>
      </x:c>
    </x:row>
    <x:row r="49">
      <x:c r="A49" t="str">
        <x:v>L-0048</x:v>
      </x:c>
      <x:c r="B49" t="str">
        <x:v>Mia</x:v>
      </x:c>
      <x:c r="C49" t="str">
        <x:v>Thompson</x:v>
      </x:c>
      <x:c r="D49" t="str">
        <x:v>Silverline Foods</x:v>
      </x:c>
      <x:c r="E49" t="str">
        <x:v>mia.thompson668@examplebiz.com</x:v>
      </x:c>
      <x:c r="F49" t="str">
        <x:v>(530) 819-8792</x:v>
      </x:c>
      <x:c r="G49" t="str">
        <x:v>WA</x:v>
      </x:c>
      <x:c r="H49" t="str">
        <x:v>Trade Show</x:v>
      </x:c>
      <x:c r="I49" t="str">
        <x:v>Closed Won</x:v>
      </x:c>
      <x:c r="J49" t="str">
        <x:v>Alex Kim</x:v>
      </x:c>
      <x:c r="K49" s="6" t="n">
        <x:v>46236</x:v>
      </x:c>
      <x:c r="L49" s="6" t="n">
        <x:v>46250</x:v>
      </x:c>
      <x:c r="M49" s="6"/>
      <x:c r="N49" s="8" t="n">
        <x:v>77500</x:v>
      </x:c>
      <x:c r="O49" t="str">
        <x:v>Logistics</x:v>
      </x:c>
      <x:c r="P49" t="str">
        <x:v>Yes</x:v>
      </x:c>
      <x:c r="Q49" t="str">
        <x:v>Yes</x:v>
      </x:c>
      <x:c r="R49" s="6" t="n">
        <x:v>46251</x:v>
      </x:c>
      <x:c r="S49" t="str">
        <x:f>IF(E49="","Unique",IF(COUNTIF($E$2:E49,E49)&gt;1,"Duplicate","Unique"))</x:f>
        <x:v>Unique</x:v>
      </x:c>
      <x:c r="T49" t="str">
        <x:f>IF(J49="Unassigned","Yes","No")</x:f>
        <x:v>No</x:v>
      </x:c>
      <x:c r="U49" t="str">
        <x:f>IF(AND(E49="",F49=""),"Yes","No")</x:f>
        <x:v>No</x:v>
      </x:c>
      <x:c r="V49" t="str">
        <x:f>IF(AND('Dashboard'!$B$2-L49&gt;30,I49&lt;&gt;"Closed Won",I49&lt;&gt;"Closed Lost"),"Yes","No")</x:f>
        <x:v>No</x:v>
      </x:c>
      <x:c r="W49" t="str">
        <x:f>IF(AND(M49&lt;&gt;"",M49&lt;'Dashboard'!$B$2,I49&lt;&gt;"Closed Won",I49&lt;&gt;"Closed Lost"),"Yes","No")</x:f>
        <x:v>No</x:v>
      </x:c>
      <x:c r="X49" t="str">
        <x:f>IF(OR(S49="Duplicate",T49="Yes",U49="Yes",D49="Unknown",W49="Yes"),"Yes","No")</x:f>
        <x:v>No</x:v>
      </x:c>
      <x:c r="Y49" t="n">
        <x:f>IF(S49="Duplicate",0,1)</x:f>
        <x:v>1</x:v>
      </x:c>
    </x:row>
    <x:row r="50">
      <x:c r="A50" t="str">
        <x:v>L-0049</x:v>
      </x:c>
      <x:c r="B50" t="str">
        <x:v>Lucas</x:v>
      </x:c>
      <x:c r="C50" t="str">
        <x:v>Thomas</x:v>
      </x:c>
      <x:c r="D50" t="str">
        <x:v>Vertex Solutions</x:v>
      </x:c>
      <x:c r="E50" t="str">
        <x:v>lucas.thomas572@mailhub.net</x:v>
      </x:c>
      <x:c r="F50" t="str">
        <x:v>(491) 458-3463</x:v>
      </x:c>
      <x:c r="G50" t="str">
        <x:v>OH</x:v>
      </x:c>
      <x:c r="H50" t="str">
        <x:v>Trade Show</x:v>
      </x:c>
      <x:c r="I50" t="str">
        <x:v>Closed Won</x:v>
      </x:c>
      <x:c r="J50" t="str">
        <x:v>Jordan Lee</x:v>
      </x:c>
      <x:c r="K50" s="6" t="n">
        <x:v>46081</x:v>
      </x:c>
      <x:c r="L50" s="6" t="n">
        <x:v>46166</x:v>
      </x:c>
      <x:c r="M50" s="6"/>
      <x:c r="N50" s="8" t="n">
        <x:v>7900</x:v>
      </x:c>
      <x:c r="O50" t="str">
        <x:v>Biotech</x:v>
      </x:c>
      <x:c r="P50" t="str">
        <x:v>Yes</x:v>
      </x:c>
      <x:c r="Q50" t="str">
        <x:v>Yes</x:v>
      </x:c>
      <x:c r="R50" s="6" t="n">
        <x:v>46172</x:v>
      </x:c>
      <x:c r="S50" t="str">
        <x:f>IF(E50="","Unique",IF(COUNTIF($E$2:E50,E50)&gt;1,"Duplicate","Unique"))</x:f>
        <x:v>Unique</x:v>
      </x:c>
      <x:c r="T50" t="str">
        <x:f>IF(J50="Unassigned","Yes","No")</x:f>
        <x:v>No</x:v>
      </x:c>
      <x:c r="U50" t="str">
        <x:f>IF(AND(E50="",F50=""),"Yes","No")</x:f>
        <x:v>No</x:v>
      </x:c>
      <x:c r="V50" t="str">
        <x:f>IF(AND('Dashboard'!$B$2-L50&gt;30,I50&lt;&gt;"Closed Won",I50&lt;&gt;"Closed Lost"),"Yes","No")</x:f>
        <x:v>No</x:v>
      </x:c>
      <x:c r="W50" t="str">
        <x:f>IF(AND(M50&lt;&gt;"",M50&lt;'Dashboard'!$B$2,I50&lt;&gt;"Closed Won",I50&lt;&gt;"Closed Lost"),"Yes","No")</x:f>
        <x:v>No</x:v>
      </x:c>
      <x:c r="X50" t="str">
        <x:f>IF(OR(S50="Duplicate",T50="Yes",U50="Yes",D50="Unknown",W50="Yes"),"Yes","No")</x:f>
        <x:v>No</x:v>
      </x:c>
      <x:c r="Y50" t="n">
        <x:f>IF(S50="Duplicate",0,1)</x:f>
        <x:v>1</x:v>
      </x:c>
    </x:row>
    <x:row r="51">
      <x:c r="A51" t="str">
        <x:v>L-0050</x:v>
      </x:c>
      <x:c r="B51" t="str">
        <x:v>Evelyn</x:v>
      </x:c>
      <x:c r="C51" t="str">
        <x:v>Williams</x:v>
      </x:c>
      <x:c r="D51" t="str">
        <x:v>Vertex Solutions</x:v>
      </x:c>
      <x:c r="E51" t="str">
        <x:v>evelyn.williams159@northmail.com</x:v>
      </x:c>
      <x:c r="F51" t="str">
        <x:v>(503) 303-9317</x:v>
      </x:c>
      <x:c r="G51" t="str">
        <x:v>CO</x:v>
      </x:c>
      <x:c r="H51" t="str">
        <x:v>Referral</x:v>
      </x:c>
      <x:c r="I51" t="str">
        <x:v>New</x:v>
      </x:c>
      <x:c r="J51" t="str">
        <x:v>Taylor Morgan</x:v>
      </x:c>
      <x:c r="K51" s="6" t="n">
        <x:v>46192</x:v>
      </x:c>
      <x:c r="L51" s="6" t="n">
        <x:v>46213</x:v>
      </x:c>
      <x:c r="M51" s="6" t="n">
        <x:v>46231</x:v>
      </x:c>
      <x:c r="N51" s="8" t="n">
        <x:v>18300</x:v>
      </x:c>
      <x:c r="O51" t="str">
        <x:v>Biotech</x:v>
      </x:c>
      <x:c r="P51" t="str">
        <x:v>No</x:v>
      </x:c>
      <x:c r="Q51" t="str">
        <x:v>No</x:v>
      </x:c>
      <x:c r="R51" s="6"/>
      <x:c r="S51" t="str">
        <x:f>IF(E51="","Unique",IF(COUNTIF($E$2:E51,E51)&gt;1,"Duplicate","Unique"))</x:f>
        <x:v>Unique</x:v>
      </x:c>
      <x:c r="T51" t="str">
        <x:f>IF(J51="Unassigned","Yes","No")</x:f>
        <x:v>No</x:v>
      </x:c>
      <x:c r="U51" t="str">
        <x:f>IF(AND(E51="",F51=""),"Yes","No")</x:f>
        <x:v>No</x:v>
      </x:c>
      <x:c r="V51" t="str">
        <x:f>IF(AND('Dashboard'!$B$2-L51&gt;30,I51&lt;&gt;"Closed Won",I51&lt;&gt;"Closed Lost"),"Yes","No")</x:f>
        <x:v>Yes</x:v>
      </x:c>
      <x:c r="W51" t="str">
        <x:f>IF(AND(M51&lt;&gt;"",M51&lt;'Dashboard'!$B$2,I51&lt;&gt;"Closed Won",I51&lt;&gt;"Closed Lost"),"Yes","No")</x:f>
        <x:v>Yes</x:v>
      </x:c>
      <x:c r="X51" t="str">
        <x:f>IF(OR(S51="Duplicate",T51="Yes",U51="Yes",D51="Unknown",W51="Yes"),"Yes","No")</x:f>
        <x:v>Yes</x:v>
      </x:c>
      <x:c r="Y51" t="n">
        <x:f>IF(S51="Duplicate",0,1)</x:f>
        <x:v>1</x:v>
      </x:c>
    </x:row>
    <x:row r="52">
      <x:c r="A52" t="str">
        <x:v>L-0051</x:v>
      </x:c>
      <x:c r="B52" t="str">
        <x:v>James</x:v>
      </x:c>
      <x:c r="C52" t="str">
        <x:v>Anderson</x:v>
      </x:c>
      <x:c r="D52" t="str">
        <x:v>Clearview Media</x:v>
      </x:c>
      <x:c r="E52" t="str">
        <x:v>james.anderson926@examplebiz.com</x:v>
      </x:c>
      <x:c r="F52" t="str">
        <x:v>(577) 894-8218</x:v>
      </x:c>
      <x:c r="G52" t="str">
        <x:v>WA</x:v>
      </x:c>
      <x:c r="H52" t="str">
        <x:v>Referral</x:v>
      </x:c>
      <x:c r="I52" t="str">
        <x:v>Opportunity</x:v>
      </x:c>
      <x:c r="J52" t="str">
        <x:v>Morgan Reed</x:v>
      </x:c>
      <x:c r="K52" s="6" t="n">
        <x:v>46132</x:v>
      </x:c>
      <x:c r="L52" s="6" t="n">
        <x:v>46161</x:v>
      </x:c>
      <x:c r="M52" s="6" t="n">
        <x:v>46181</x:v>
      </x:c>
      <x:c r="N52" s="8" t="n">
        <x:v>22200</x:v>
      </x:c>
      <x:c r="O52" t="str">
        <x:v>Logistics</x:v>
      </x:c>
      <x:c r="P52" t="str">
        <x:v>Yes</x:v>
      </x:c>
      <x:c r="Q52" t="str">
        <x:v>No</x:v>
      </x:c>
      <x:c r="R52" s="6"/>
      <x:c r="S52" t="str">
        <x:f>IF(E52="","Unique",IF(COUNTIF($E$2:E52,E52)&gt;1,"Duplicate","Unique"))</x:f>
        <x:v>Unique</x:v>
      </x:c>
      <x:c r="T52" t="str">
        <x:f>IF(J52="Unassigned","Yes","No")</x:f>
        <x:v>No</x:v>
      </x:c>
      <x:c r="U52" t="str">
        <x:f>IF(AND(E52="",F52=""),"Yes","No")</x:f>
        <x:v>No</x:v>
      </x:c>
      <x:c r="V52" t="str">
        <x:f>IF(AND('Dashboard'!$B$2-L52&gt;30,I52&lt;&gt;"Closed Won",I52&lt;&gt;"Closed Lost"),"Yes","No")</x:f>
        <x:v>Yes</x:v>
      </x:c>
      <x:c r="W52" t="str">
        <x:f>IF(AND(M52&lt;&gt;"",M52&lt;'Dashboard'!$B$2,I52&lt;&gt;"Closed Won",I52&lt;&gt;"Closed Lost"),"Yes","No")</x:f>
        <x:v>Yes</x:v>
      </x:c>
      <x:c r="X52" t="str">
        <x:f>IF(OR(S52="Duplicate",T52="Yes",U52="Yes",D52="Unknown",W52="Yes"),"Yes","No")</x:f>
        <x:v>Yes</x:v>
      </x:c>
      <x:c r="Y52" t="n">
        <x:f>IF(S52="Duplicate",0,1)</x:f>
        <x:v>1</x:v>
      </x:c>
    </x:row>
    <x:row r="53">
      <x:c r="A53" t="str">
        <x:v>L-0052</x:v>
      </x:c>
      <x:c r="B53" t="str">
        <x:v>Noah</x:v>
      </x:c>
      <x:c r="C53" t="str">
        <x:v>Martinez</x:v>
      </x:c>
      <x:c r="D53" t="str">
        <x:v>Unknown</x:v>
      </x:c>
      <x:c r="E53" t="str">
        <x:v>logan.moore73@northmail.com</x:v>
      </x:c>
      <x:c r="F53" t="str">
        <x:v>(558) 227-7797</x:v>
      </x:c>
      <x:c r="G53" t="str">
        <x:v>NY</x:v>
      </x:c>
      <x:c r="H53" t="str">
        <x:v>Webinar</x:v>
      </x:c>
      <x:c r="I53" t="str">
        <x:v>Qualified</x:v>
      </x:c>
      <x:c r="J53" t="str">
        <x:v>Taylor Morgan</x:v>
      </x:c>
      <x:c r="K53" s="6" t="n">
        <x:v>46034</x:v>
      </x:c>
      <x:c r="L53" s="6" t="n">
        <x:v>46145</x:v>
      </x:c>
      <x:c r="M53" s="6" t="n">
        <x:v>46150</x:v>
      </x:c>
      <x:c r="N53" s="8" t="n">
        <x:v>80600</x:v>
      </x:c>
      <x:c r="O53" t="str">
        <x:v>Manufacturing</x:v>
      </x:c>
      <x:c r="P53" t="str">
        <x:v>Yes</x:v>
      </x:c>
      <x:c r="Q53" t="str">
        <x:v>No</x:v>
      </x:c>
      <x:c r="R53" s="6"/>
      <x:c r="S53" t="str">
        <x:f>IF(E53="","Unique",IF(COUNTIF($E$2:E53,E53)&gt;1,"Duplicate","Unique"))</x:f>
        <x:v>Duplicate</x:v>
      </x:c>
      <x:c r="T53" t="str">
        <x:f>IF(J53="Unassigned","Yes","No")</x:f>
        <x:v>No</x:v>
      </x:c>
      <x:c r="U53" t="str">
        <x:f>IF(AND(E53="",F53=""),"Yes","No")</x:f>
        <x:v>No</x:v>
      </x:c>
      <x:c r="V53" t="str">
        <x:f>IF(AND('Dashboard'!$B$2-L53&gt;30,I53&lt;&gt;"Closed Won",I53&lt;&gt;"Closed Lost"),"Yes","No")</x:f>
        <x:v>Yes</x:v>
      </x:c>
      <x:c r="W53" t="str">
        <x:f>IF(AND(M53&lt;&gt;"",M53&lt;'Dashboard'!$B$2,I53&lt;&gt;"Closed Won",I53&lt;&gt;"Closed Lost"),"Yes","No")</x:f>
        <x:v>Yes</x:v>
      </x:c>
      <x:c r="X53" t="str">
        <x:f>IF(OR(S53="Duplicate",T53="Yes",U53="Yes",D53="Unknown",W53="Yes"),"Yes","No")</x:f>
        <x:v>Yes</x:v>
      </x:c>
      <x:c r="Y53" t="n">
        <x:f>IF(S53="Duplicate",0,1)</x:f>
        <x:v>0</x:v>
      </x:c>
    </x:row>
    <x:row r="54">
      <x:c r="A54" t="str">
        <x:v>L-0053</x:v>
      </x:c>
      <x:c r="B54" t="str">
        <x:v>Emma</x:v>
      </x:c>
      <x:c r="C54" t="str">
        <x:v>Jackson</x:v>
      </x:c>
      <x:c r="D54" t="str">
        <x:v>Unknown</x:v>
      </x:c>
      <x:c r="E54" t="str">
        <x:v>emma.jackson795@prospect.co</x:v>
      </x:c>
      <x:c r="F54" t="str">
        <x:v>(444) 508-2996</x:v>
      </x:c>
      <x:c r="G54" t="str">
        <x:v>TX</x:v>
      </x:c>
      <x:c r="H54" t="str">
        <x:v>Website</x:v>
      </x:c>
      <x:c r="I54" t="str">
        <x:v>Contacted</x:v>
      </x:c>
      <x:c r="J54" t="str">
        <x:v>Jordan Lee</x:v>
      </x:c>
      <x:c r="K54" s="6" t="n">
        <x:v>46208</x:v>
      </x:c>
      <x:c r="L54" s="6" t="n">
        <x:v>46243</x:v>
      </x:c>
      <x:c r="M54" s="6" t="n">
        <x:v>46265</x:v>
      </x:c>
      <x:c r="N54" s="8" t="n">
        <x:v>46000</x:v>
      </x:c>
      <x:c r="O54" t="str">
        <x:v>Healthcare</x:v>
      </x:c>
      <x:c r="P54" t="str">
        <x:v>No</x:v>
      </x:c>
      <x:c r="Q54" t="str">
        <x:v>No</x:v>
      </x:c>
      <x:c r="R54" s="6"/>
      <x:c r="S54" t="str">
        <x:f>IF(E54="","Unique",IF(COUNTIF($E$2:E54,E54)&gt;1,"Duplicate","Unique"))</x:f>
        <x:v>Unique</x:v>
      </x:c>
      <x:c r="T54" t="str">
        <x:f>IF(J54="Unassigned","Yes","No")</x:f>
        <x:v>No</x:v>
      </x:c>
      <x:c r="U54" t="str">
        <x:f>IF(AND(E54="",F54=""),"Yes","No")</x:f>
        <x:v>No</x:v>
      </x:c>
      <x:c r="V54" t="str">
        <x:f>IF(AND('Dashboard'!$B$2-L54&gt;30,I54&lt;&gt;"Closed Won",I54&lt;&gt;"Closed Lost"),"Yes","No")</x:f>
        <x:v>No</x:v>
      </x:c>
      <x:c r="W54" t="str">
        <x:f>IF(AND(M54&lt;&gt;"",M54&lt;'Dashboard'!$B$2,I54&lt;&gt;"Closed Won",I54&lt;&gt;"Closed Lost"),"Yes","No")</x:f>
        <x:v>No</x:v>
      </x:c>
      <x:c r="X54" t="str">
        <x:f>IF(OR(S54="Duplicate",T54="Yes",U54="Yes",D54="Unknown",W54="Yes"),"Yes","No")</x:f>
        <x:v>Yes</x:v>
      </x:c>
      <x:c r="Y54" t="n">
        <x:f>IF(S54="Duplicate",0,1)</x:f>
        <x:v>1</x:v>
      </x:c>
    </x:row>
    <x:row r="55">
      <x:c r="A55" t="str">
        <x:v>L-0054</x:v>
      </x:c>
      <x:c r="B55" t="str">
        <x:v>Henry</x:v>
      </x:c>
      <x:c r="C55" t="str">
        <x:v>Anderson</x:v>
      </x:c>
      <x:c r="D55" t="str">
        <x:v>Clearview Media</x:v>
      </x:c>
      <x:c r="E55" t="str">
        <x:v>henry.anderson568@northmail.com</x:v>
      </x:c>
      <x:c r="F55" t="str"/>
      <x:c r="G55" t="str">
        <x:v>CA</x:v>
      </x:c>
      <x:c r="H55" t="str">
        <x:v>LinkedIn</x:v>
      </x:c>
      <x:c r="I55" t="str">
        <x:v>New</x:v>
      </x:c>
      <x:c r="J55" t="str">
        <x:v>Alex Kim</x:v>
      </x:c>
      <x:c r="K55" s="6" t="n">
        <x:v>46154</x:v>
      </x:c>
      <x:c r="L55" s="6" t="n">
        <x:v>46162</x:v>
      </x:c>
      <x:c r="M55" s="6" t="n">
        <x:v>46181</x:v>
      </x:c>
      <x:c r="N55" s="8" t="n">
        <x:v>47400</x:v>
      </x:c>
      <x:c r="O55" t="str">
        <x:v>Professional Services</x:v>
      </x:c>
      <x:c r="P55" t="str">
        <x:v>No</x:v>
      </x:c>
      <x:c r="Q55" t="str">
        <x:v>No</x:v>
      </x:c>
      <x:c r="R55" s="6"/>
      <x:c r="S55" t="str">
        <x:f>IF(E55="","Unique",IF(COUNTIF($E$2:E55,E55)&gt;1,"Duplicate","Unique"))</x:f>
        <x:v>Unique</x:v>
      </x:c>
      <x:c r="T55" t="str">
        <x:f>IF(J55="Unassigned","Yes","No")</x:f>
        <x:v>No</x:v>
      </x:c>
      <x:c r="U55" t="str">
        <x:f>IF(AND(E55="",F55=""),"Yes","No")</x:f>
        <x:v>No</x:v>
      </x:c>
      <x:c r="V55" t="str">
        <x:f>IF(AND('Dashboard'!$B$2-L55&gt;30,I55&lt;&gt;"Closed Won",I55&lt;&gt;"Closed Lost"),"Yes","No")</x:f>
        <x:v>Yes</x:v>
      </x:c>
      <x:c r="W55" t="str">
        <x:f>IF(AND(M55&lt;&gt;"",M55&lt;'Dashboard'!$B$2,I55&lt;&gt;"Closed Won",I55&lt;&gt;"Closed Lost"),"Yes","No")</x:f>
        <x:v>Yes</x:v>
      </x:c>
      <x:c r="X55" t="str">
        <x:f>IF(OR(S55="Duplicate",T55="Yes",U55="Yes",D55="Unknown",W55="Yes"),"Yes","No")</x:f>
        <x:v>Yes</x:v>
      </x:c>
      <x:c r="Y55" t="n">
        <x:f>IF(S55="Duplicate",0,1)</x:f>
        <x:v>1</x:v>
      </x:c>
    </x:row>
    <x:row r="56">
      <x:c r="A56" t="str">
        <x:v>L-0055</x:v>
      </x:c>
      <x:c r="B56" t="str">
        <x:v>Ethan</x:v>
      </x:c>
      <x:c r="C56" t="str">
        <x:v>Moore</x:v>
      </x:c>
      <x:c r="D56" t="str">
        <x:v>Atlas Commerce</x:v>
      </x:c>
      <x:c r="E56" t="str">
        <x:v>ethan.moore811@examplebiz.com</x:v>
      </x:c>
      <x:c r="F56" t="str">
        <x:v>(243) 523-6080</x:v>
      </x:c>
      <x:c r="G56" t="str">
        <x:v>CA</x:v>
      </x:c>
      <x:c r="H56" t="str">
        <x:v>Website</x:v>
      </x:c>
      <x:c r="I56" t="str">
        <x:v>Closed Won</x:v>
      </x:c>
      <x:c r="J56" t="str">
        <x:v>Jordan Lee</x:v>
      </x:c>
      <x:c r="K56" s="6" t="n">
        <x:v>46129</x:v>
      </x:c>
      <x:c r="L56" s="6" t="n">
        <x:v>46133</x:v>
      </x:c>
      <x:c r="M56" s="6"/>
      <x:c r="N56" s="8" t="n">
        <x:v>26700</x:v>
      </x:c>
      <x:c r="O56" t="str">
        <x:v>Manufacturing</x:v>
      </x:c>
      <x:c r="P56" t="str">
        <x:v>Yes</x:v>
      </x:c>
      <x:c r="Q56" t="str">
        <x:v>Yes</x:v>
      </x:c>
      <x:c r="R56" s="6" t="n">
        <x:v>46138</x:v>
      </x:c>
      <x:c r="S56" t="str">
        <x:f>IF(E56="","Unique",IF(COUNTIF($E$2:E56,E56)&gt;1,"Duplicate","Unique"))</x:f>
        <x:v>Unique</x:v>
      </x:c>
      <x:c r="T56" t="str">
        <x:f>IF(J56="Unassigned","Yes","No")</x:f>
        <x:v>No</x:v>
      </x:c>
      <x:c r="U56" t="str">
        <x:f>IF(AND(E56="",F56=""),"Yes","No")</x:f>
        <x:v>No</x:v>
      </x:c>
      <x:c r="V56" t="str">
        <x:f>IF(AND('Dashboard'!$B$2-L56&gt;30,I56&lt;&gt;"Closed Won",I56&lt;&gt;"Closed Lost"),"Yes","No")</x:f>
        <x:v>No</x:v>
      </x:c>
      <x:c r="W56" t="str">
        <x:f>IF(AND(M56&lt;&gt;"",M56&lt;'Dashboard'!$B$2,I56&lt;&gt;"Closed Won",I56&lt;&gt;"Closed Lost"),"Yes","No")</x:f>
        <x:v>No</x:v>
      </x:c>
      <x:c r="X56" t="str">
        <x:f>IF(OR(S56="Duplicate",T56="Yes",U56="Yes",D56="Unknown",W56="Yes"),"Yes","No")</x:f>
        <x:v>No</x:v>
      </x:c>
      <x:c r="Y56" t="n">
        <x:f>IF(S56="Duplicate",0,1)</x:f>
        <x:v>1</x:v>
      </x:c>
    </x:row>
    <x:row r="57">
      <x:c r="A57" t="str">
        <x:v>L-0056</x:v>
      </x:c>
      <x:c r="B57" t="str">
        <x:v>Amelia</x:v>
      </x:c>
      <x:c r="C57" t="str">
        <x:v>Wilson</x:v>
      </x:c>
      <x:c r="D57" t="str">
        <x:v>Cedarworks</x:v>
      </x:c>
      <x:c r="E57" t="str">
        <x:v>amelia.wilson435@northmail.com</x:v>
      </x:c>
      <x:c r="F57" t="str">
        <x:v>(641) 816-3956</x:v>
      </x:c>
      <x:c r="G57" t="str">
        <x:v>PA</x:v>
      </x:c>
      <x:c r="H57" t="str">
        <x:v>Webinar</x:v>
      </x:c>
      <x:c r="I57" t="str">
        <x:v>Closed Lost</x:v>
      </x:c>
      <x:c r="J57" t="str">
        <x:v>Jamie Brooks</x:v>
      </x:c>
      <x:c r="K57" s="6" t="n">
        <x:v>46114</x:v>
      </x:c>
      <x:c r="L57" s="6" t="n">
        <x:v>46182</x:v>
      </x:c>
      <x:c r="M57" s="6"/>
      <x:c r="N57" s="8" t="n">
        <x:v>68600</x:v>
      </x:c>
      <x:c r="O57" t="str">
        <x:v>Logistics</x:v>
      </x:c>
      <x:c r="P57" t="str">
        <x:v>Yes</x:v>
      </x:c>
      <x:c r="Q57" t="str">
        <x:v>No</x:v>
      </x:c>
      <x:c r="R57" s="6" t="n">
        <x:v>46188</x:v>
      </x:c>
      <x:c r="S57" t="str">
        <x:f>IF(E57="","Unique",IF(COUNTIF($E$2:E57,E57)&gt;1,"Duplicate","Unique"))</x:f>
        <x:v>Unique</x:v>
      </x:c>
      <x:c r="T57" t="str">
        <x:f>IF(J57="Unassigned","Yes","No")</x:f>
        <x:v>No</x:v>
      </x:c>
      <x:c r="U57" t="str">
        <x:f>IF(AND(E57="",F57=""),"Yes","No")</x:f>
        <x:v>No</x:v>
      </x:c>
      <x:c r="V57" t="str">
        <x:f>IF(AND('Dashboard'!$B$2-L57&gt;30,I57&lt;&gt;"Closed Won",I57&lt;&gt;"Closed Lost"),"Yes","No")</x:f>
        <x:v>No</x:v>
      </x:c>
      <x:c r="W57" t="str">
        <x:f>IF(AND(M57&lt;&gt;"",M57&lt;'Dashboard'!$B$2,I57&lt;&gt;"Closed Won",I57&lt;&gt;"Closed Lost"),"Yes","No")</x:f>
        <x:v>No</x:v>
      </x:c>
      <x:c r="X57" t="str">
        <x:f>IF(OR(S57="Duplicate",T57="Yes",U57="Yes",D57="Unknown",W57="Yes"),"Yes","No")</x:f>
        <x:v>No</x:v>
      </x:c>
      <x:c r="Y57" t="n">
        <x:f>IF(S57="Duplicate",0,1)</x:f>
        <x:v>1</x:v>
      </x:c>
    </x:row>
    <x:row r="58">
      <x:c r="A58" t="str">
        <x:v>L-0057</x:v>
      </x:c>
      <x:c r="B58" t="str">
        <x:v>Liam</x:v>
      </x:c>
      <x:c r="C58" t="str">
        <x:v>Williams</x:v>
      </x:c>
      <x:c r="D58" t="str">
        <x:v>Silverline Foods</x:v>
      </x:c>
      <x:c r="E58" t="str"/>
      <x:c r="F58" t="str">
        <x:v>(269) 441-7001</x:v>
      </x:c>
      <x:c r="G58" t="str">
        <x:v>GA</x:v>
      </x:c>
      <x:c r="H58" t="str">
        <x:v>Email Campaign</x:v>
      </x:c>
      <x:c r="I58" t="str">
        <x:v>Opportunity</x:v>
      </x:c>
      <x:c r="J58" t="str">
        <x:v>Morgan Reed</x:v>
      </x:c>
      <x:c r="K58" s="6" t="n">
        <x:v>46239</x:v>
      </x:c>
      <x:c r="L58" s="6" t="n">
        <x:v>46241</x:v>
      </x:c>
      <x:c r="M58" s="6" t="n">
        <x:v>46263</x:v>
      </x:c>
      <x:c r="N58" s="8" t="n">
        <x:v>58400</x:v>
      </x:c>
      <x:c r="O58" t="str">
        <x:v>Biotech</x:v>
      </x:c>
      <x:c r="P58" t="str">
        <x:v>Yes</x:v>
      </x:c>
      <x:c r="Q58" t="str">
        <x:v>No</x:v>
      </x:c>
      <x:c r="R58" s="6"/>
      <x:c r="S58" t="str">
        <x:f>IF(E58="","Unique",IF(COUNTIF($E$2:E58,E58)&gt;1,"Duplicate","Unique"))</x:f>
        <x:v>Unique</x:v>
      </x:c>
      <x:c r="T58" t="str">
        <x:f>IF(J58="Unassigned","Yes","No")</x:f>
        <x:v>No</x:v>
      </x:c>
      <x:c r="U58" t="str">
        <x:f>IF(AND(E58="",F58=""),"Yes","No")</x:f>
        <x:v>No</x:v>
      </x:c>
      <x:c r="V58" t="str">
        <x:f>IF(AND('Dashboard'!$B$2-L58&gt;30,I58&lt;&gt;"Closed Won",I58&lt;&gt;"Closed Lost"),"Yes","No")</x:f>
        <x:v>No</x:v>
      </x:c>
      <x:c r="W58" t="str">
        <x:f>IF(AND(M58&lt;&gt;"",M58&lt;'Dashboard'!$B$2,I58&lt;&gt;"Closed Won",I58&lt;&gt;"Closed Lost"),"Yes","No")</x:f>
        <x:v>No</x:v>
      </x:c>
      <x:c r="X58" t="str">
        <x:f>IF(OR(S58="Duplicate",T58="Yes",U58="Yes",D58="Unknown",W58="Yes"),"Yes","No")</x:f>
        <x:v>No</x:v>
      </x:c>
      <x:c r="Y58" t="n">
        <x:f>IF(S58="Duplicate",0,1)</x:f>
        <x:v>1</x:v>
      </x:c>
    </x:row>
    <x:row r="59">
      <x:c r="A59" t="str">
        <x:v>L-0058</x:v>
      </x:c>
      <x:c r="B59" t="str">
        <x:v>Noah</x:v>
      </x:c>
      <x:c r="C59" t="str">
        <x:v>Smith</x:v>
      </x:c>
      <x:c r="D59" t="str">
        <x:v>Cedarworks</x:v>
      </x:c>
      <x:c r="E59" t="str">
        <x:v>noah.smith293@mailhub.net</x:v>
      </x:c>
      <x:c r="F59" t="str">
        <x:v>(405) 325-3223</x:v>
      </x:c>
      <x:c r="G59" t="str">
        <x:v>GA</x:v>
      </x:c>
      <x:c r="H59" t="str">
        <x:v>Referral</x:v>
      </x:c>
      <x:c r="I59" t="str">
        <x:v>Qualified</x:v>
      </x:c>
      <x:c r="J59" t="str">
        <x:v>Alex Kim</x:v>
      </x:c>
      <x:c r="K59" s="6" t="n">
        <x:v>46179</x:v>
      </x:c>
      <x:c r="L59" s="6" t="n">
        <x:v>46212</x:v>
      </x:c>
      <x:c r="M59" s="6" t="n">
        <x:v>46237</x:v>
      </x:c>
      <x:c r="N59" s="8" t="n">
        <x:v>39300</x:v>
      </x:c>
      <x:c r="O59" t="str">
        <x:v>Logistics</x:v>
      </x:c>
      <x:c r="P59" t="str">
        <x:v>Yes</x:v>
      </x:c>
      <x:c r="Q59" t="str">
        <x:v>No</x:v>
      </x:c>
      <x:c r="R59" s="6"/>
      <x:c r="S59" t="str">
        <x:f>IF(E59="","Unique",IF(COUNTIF($E$2:E59,E59)&gt;1,"Duplicate","Unique"))</x:f>
        <x:v>Unique</x:v>
      </x:c>
      <x:c r="T59" t="str">
        <x:f>IF(J59="Unassigned","Yes","No")</x:f>
        <x:v>No</x:v>
      </x:c>
      <x:c r="U59" t="str">
        <x:f>IF(AND(E59="",F59=""),"Yes","No")</x:f>
        <x:v>No</x:v>
      </x:c>
      <x:c r="V59" t="str">
        <x:f>IF(AND('Dashboard'!$B$2-L59&gt;30,I59&lt;&gt;"Closed Won",I59&lt;&gt;"Closed Lost"),"Yes","No")</x:f>
        <x:v>Yes</x:v>
      </x:c>
      <x:c r="W59" t="str">
        <x:f>IF(AND(M59&lt;&gt;"",M59&lt;'Dashboard'!$B$2,I59&lt;&gt;"Closed Won",I59&lt;&gt;"Closed Lost"),"Yes","No")</x:f>
        <x:v>Yes</x:v>
      </x:c>
      <x:c r="X59" t="str">
        <x:f>IF(OR(S59="Duplicate",T59="Yes",U59="Yes",D59="Unknown",W59="Yes"),"Yes","No")</x:f>
        <x:v>Yes</x:v>
      </x:c>
      <x:c r="Y59" t="n">
        <x:f>IF(S59="Duplicate",0,1)</x:f>
        <x:v>1</x:v>
      </x:c>
    </x:row>
    <x:row r="60">
      <x:c r="A60" t="str">
        <x:v>L-0059</x:v>
      </x:c>
      <x:c r="B60" t="str">
        <x:v>Ethan</x:v>
      </x:c>
      <x:c r="C60" t="str">
        <x:v>Anderson</x:v>
      </x:c>
      <x:c r="D60" t="str">
        <x:v>Clearview Media</x:v>
      </x:c>
      <x:c r="E60" t="str">
        <x:v>ethan.anderson479@examplebiz.com</x:v>
      </x:c>
      <x:c r="F60" t="str">
        <x:v>(827) 288-2077</x:v>
      </x:c>
      <x:c r="G60" t="str">
        <x:v>FL</x:v>
      </x:c>
      <x:c r="H60" t="str">
        <x:v>Email Campaign</x:v>
      </x:c>
      <x:c r="I60" t="str">
        <x:v>Contacted</x:v>
      </x:c>
      <x:c r="J60" t="str">
        <x:v>Casey Patel</x:v>
      </x:c>
      <x:c r="K60" s="6" t="n">
        <x:v>46120</x:v>
      </x:c>
      <x:c r="L60" s="6" t="n">
        <x:v>46126</x:v>
      </x:c>
      <x:c r="M60" s="6" t="n">
        <x:v>46140</x:v>
      </x:c>
      <x:c r="N60" s="8" t="n">
        <x:v>48200</x:v>
      </x:c>
      <x:c r="O60" t="str">
        <x:v>Technology</x:v>
      </x:c>
      <x:c r="P60" t="str">
        <x:v>No</x:v>
      </x:c>
      <x:c r="Q60" t="str">
        <x:v>No</x:v>
      </x:c>
      <x:c r="R60" s="6"/>
      <x:c r="S60" t="str">
        <x:f>IF(E60="","Unique",IF(COUNTIF($E$2:E60,E60)&gt;1,"Duplicate","Unique"))</x:f>
        <x:v>Unique</x:v>
      </x:c>
      <x:c r="T60" t="str">
        <x:f>IF(J60="Unassigned","Yes","No")</x:f>
        <x:v>No</x:v>
      </x:c>
      <x:c r="U60" t="str">
        <x:f>IF(AND(E60="",F60=""),"Yes","No")</x:f>
        <x:v>No</x:v>
      </x:c>
      <x:c r="V60" t="str">
        <x:f>IF(AND('Dashboard'!$B$2-L60&gt;30,I60&lt;&gt;"Closed Won",I60&lt;&gt;"Closed Lost"),"Yes","No")</x:f>
        <x:v>Yes</x:v>
      </x:c>
      <x:c r="W60" t="str">
        <x:f>IF(AND(M60&lt;&gt;"",M60&lt;'Dashboard'!$B$2,I60&lt;&gt;"Closed Won",I60&lt;&gt;"Closed Lost"),"Yes","No")</x:f>
        <x:v>Yes</x:v>
      </x:c>
      <x:c r="X60" t="str">
        <x:f>IF(OR(S60="Duplicate",T60="Yes",U60="Yes",D60="Unknown",W60="Yes"),"Yes","No")</x:f>
        <x:v>Yes</x:v>
      </x:c>
      <x:c r="Y60" t="n">
        <x:f>IF(S60="Duplicate",0,1)</x:f>
        <x:v>1</x:v>
      </x:c>
    </x:row>
    <x:row r="61">
      <x:c r="A61" t="str">
        <x:v>L-0060</x:v>
      </x:c>
      <x:c r="B61" t="str">
        <x:v>Elijah</x:v>
      </x:c>
      <x:c r="C61" t="str">
        <x:v>Perez</x:v>
      </x:c>
      <x:c r="D61" t="str">
        <x:v>Cedarworks</x:v>
      </x:c>
      <x:c r="E61" t="str">
        <x:v>elijah.perez169@examplebiz.com</x:v>
      </x:c>
      <x:c r="F61" t="str">
        <x:v>(531) 926-4694</x:v>
      </x:c>
      <x:c r="G61" t="str">
        <x:v>AZ</x:v>
      </x:c>
      <x:c r="H61" t="str">
        <x:v>Webinar</x:v>
      </x:c>
      <x:c r="I61" t="str">
        <x:v>Closed Won</x:v>
      </x:c>
      <x:c r="J61" t="str">
        <x:v>Casey Patel</x:v>
      </x:c>
      <x:c r="K61" s="6" t="n">
        <x:v>46034</x:v>
      </x:c>
      <x:c r="L61" s="6" t="n">
        <x:v>46065</x:v>
      </x:c>
      <x:c r="M61" s="6"/>
      <x:c r="N61" s="8" t="n">
        <x:v>45200</x:v>
      </x:c>
      <x:c r="O61" t="str">
        <x:v>Manufacturing</x:v>
      </x:c>
      <x:c r="P61" t="str">
        <x:v>Yes</x:v>
      </x:c>
      <x:c r="Q61" t="str">
        <x:v>Yes</x:v>
      </x:c>
      <x:c r="R61" s="6" t="n">
        <x:v>46073</x:v>
      </x:c>
      <x:c r="S61" t="str">
        <x:f>IF(E61="","Unique",IF(COUNTIF($E$2:E61,E61)&gt;1,"Duplicate","Unique"))</x:f>
        <x:v>Unique</x:v>
      </x:c>
      <x:c r="T61" t="str">
        <x:f>IF(J61="Unassigned","Yes","No")</x:f>
        <x:v>No</x:v>
      </x:c>
      <x:c r="U61" t="str">
        <x:f>IF(AND(E61="",F61=""),"Yes","No")</x:f>
        <x:v>No</x:v>
      </x:c>
      <x:c r="V61" t="str">
        <x:f>IF(AND('Dashboard'!$B$2-L61&gt;30,I61&lt;&gt;"Closed Won",I61&lt;&gt;"Closed Lost"),"Yes","No")</x:f>
        <x:v>No</x:v>
      </x:c>
      <x:c r="W61" t="str">
        <x:f>IF(AND(M61&lt;&gt;"",M61&lt;'Dashboard'!$B$2,I61&lt;&gt;"Closed Won",I61&lt;&gt;"Closed Lost"),"Yes","No")</x:f>
        <x:v>No</x:v>
      </x:c>
      <x:c r="X61" t="str">
        <x:f>IF(OR(S61="Duplicate",T61="Yes",U61="Yes",D61="Unknown",W61="Yes"),"Yes","No")</x:f>
        <x:v>No</x:v>
      </x:c>
      <x:c r="Y61" t="n">
        <x:f>IF(S61="Duplicate",0,1)</x:f>
        <x:v>1</x:v>
      </x:c>
    </x:row>
    <x:row r="62">
      <x:c r="A62" t="str">
        <x:v>L-0061</x:v>
      </x:c>
      <x:c r="B62" t="str">
        <x:v>Henry</x:v>
      </x:c>
      <x:c r="C62" t="str">
        <x:v>Thompson</x:v>
      </x:c>
      <x:c r="D62" t="str">
        <x:v>Redstone Consulting</x:v>
      </x:c>
      <x:c r="E62" t="str">
        <x:v>henry.thompson786@mailhub.net</x:v>
      </x:c>
      <x:c r="F62" t="str">
        <x:v>(833) 854-1496</x:v>
      </x:c>
      <x:c r="G62" t="str">
        <x:v>CO</x:v>
      </x:c>
      <x:c r="H62" t="str">
        <x:v>Website</x:v>
      </x:c>
      <x:c r="I62" t="str">
        <x:v>Closed Lost</x:v>
      </x:c>
      <x:c r="J62" t="str">
        <x:v>Taylor Morgan</x:v>
      </x:c>
      <x:c r="K62" s="6" t="n">
        <x:v>46049</x:v>
      </x:c>
      <x:c r="L62" s="6" t="n">
        <x:v>46196</x:v>
      </x:c>
      <x:c r="M62" s="6"/>
      <x:c r="N62" s="8" t="n">
        <x:v>24300</x:v>
      </x:c>
      <x:c r="O62" t="str">
        <x:v>Healthcare</x:v>
      </x:c>
      <x:c r="P62" t="str">
        <x:v>Yes</x:v>
      </x:c>
      <x:c r="Q62" t="str">
        <x:v>No</x:v>
      </x:c>
      <x:c r="R62" s="6" t="n">
        <x:v>46202</x:v>
      </x:c>
      <x:c r="S62" t="str">
        <x:f>IF(E62="","Unique",IF(COUNTIF($E$2:E62,E62)&gt;1,"Duplicate","Unique"))</x:f>
        <x:v>Unique</x:v>
      </x:c>
      <x:c r="T62" t="str">
        <x:f>IF(J62="Unassigned","Yes","No")</x:f>
        <x:v>No</x:v>
      </x:c>
      <x:c r="U62" t="str">
        <x:f>IF(AND(E62="",F62=""),"Yes","No")</x:f>
        <x:v>No</x:v>
      </x:c>
      <x:c r="V62" t="str">
        <x:f>IF(AND('Dashboard'!$B$2-L62&gt;30,I62&lt;&gt;"Closed Won",I62&lt;&gt;"Closed Lost"),"Yes","No")</x:f>
        <x:v>No</x:v>
      </x:c>
      <x:c r="W62" t="str">
        <x:f>IF(AND(M62&lt;&gt;"",M62&lt;'Dashboard'!$B$2,I62&lt;&gt;"Closed Won",I62&lt;&gt;"Closed Lost"),"Yes","No")</x:f>
        <x:v>No</x:v>
      </x:c>
      <x:c r="X62" t="str">
        <x:f>IF(OR(S62="Duplicate",T62="Yes",U62="Yes",D62="Unknown",W62="Yes"),"Yes","No")</x:f>
        <x:v>No</x:v>
      </x:c>
      <x:c r="Y62" t="n">
        <x:f>IF(S62="Duplicate",0,1)</x:f>
        <x:v>1</x:v>
      </x:c>
    </x:row>
    <x:row r="63">
      <x:c r="A63" t="str">
        <x:v>L-0062</x:v>
      </x:c>
      <x:c r="B63" t="str">
        <x:v>Isabella</x:v>
      </x:c>
      <x:c r="C63" t="str">
        <x:v>Wilson</x:v>
      </x:c>
      <x:c r="D63" t="str">
        <x:v>Pioneer Tech</x:v>
      </x:c>
      <x:c r="E63" t="str">
        <x:v>isabella.wilson461@examplebiz.com</x:v>
      </x:c>
      <x:c r="F63" t="str">
        <x:v>(345) 299-1829</x:v>
      </x:c>
      <x:c r="G63" t="str">
        <x:v>CA</x:v>
      </x:c>
      <x:c r="H63" t="str">
        <x:v>LinkedIn</x:v>
      </x:c>
      <x:c r="I63" t="str">
        <x:v>Qualified</x:v>
      </x:c>
      <x:c r="J63" t="str">
        <x:v>Casey Patel</x:v>
      </x:c>
      <x:c r="K63" s="6" t="n">
        <x:v>46219</x:v>
      </x:c>
      <x:c r="L63" s="6" t="n">
        <x:v>46239</x:v>
      </x:c>
      <x:c r="M63" s="6" t="n">
        <x:v>46249</x:v>
      </x:c>
      <x:c r="N63" s="8" t="n">
        <x:v>41000</x:v>
      </x:c>
      <x:c r="O63" t="str">
        <x:v>Professional Services</x:v>
      </x:c>
      <x:c r="P63" t="str">
        <x:v>Yes</x:v>
      </x:c>
      <x:c r="Q63" t="str">
        <x:v>No</x:v>
      </x:c>
      <x:c r="R63" s="6"/>
      <x:c r="S63" t="str">
        <x:f>IF(E63="","Unique",IF(COUNTIF($E$2:E63,E63)&gt;1,"Duplicate","Unique"))</x:f>
        <x:v>Unique</x:v>
      </x:c>
      <x:c r="T63" t="str">
        <x:f>IF(J63="Unassigned","Yes","No")</x:f>
        <x:v>No</x:v>
      </x:c>
      <x:c r="U63" t="str">
        <x:f>IF(AND(E63="",F63=""),"Yes","No")</x:f>
        <x:v>No</x:v>
      </x:c>
      <x:c r="V63" t="str">
        <x:f>IF(AND('Dashboard'!$B$2-L63&gt;30,I63&lt;&gt;"Closed Won",I63&lt;&gt;"Closed Lost"),"Yes","No")</x:f>
        <x:v>No</x:v>
      </x:c>
      <x:c r="W63" t="str">
        <x:f>IF(AND(M63&lt;&gt;"",M63&lt;'Dashboard'!$B$2,I63&lt;&gt;"Closed Won",I63&lt;&gt;"Closed Lost"),"Yes","No")</x:f>
        <x:v>Yes</x:v>
      </x:c>
      <x:c r="X63" t="str">
        <x:f>IF(OR(S63="Duplicate",T63="Yes",U63="Yes",D63="Unknown",W63="Yes"),"Yes","No")</x:f>
        <x:v>Yes</x:v>
      </x:c>
      <x:c r="Y63" t="n">
        <x:f>IF(S63="Duplicate",0,1)</x:f>
        <x:v>1</x:v>
      </x:c>
    </x:row>
    <x:row r="64">
      <x:c r="A64" t="str">
        <x:v>L-0063</x:v>
      </x:c>
      <x:c r="B64" t="str">
        <x:v>Benjamin</x:v>
      </x:c>
      <x:c r="C64" t="str">
        <x:v>Smith</x:v>
      </x:c>
      <x:c r="D64" t="str">
        <x:v>Brightpath Health</x:v>
      </x:c>
      <x:c r="E64" t="str">
        <x:v>benjamin.smith612@mailhub.net</x:v>
      </x:c>
      <x:c r="F64" t="str">
        <x:v>493-749-1133</x:v>
      </x:c>
      <x:c r="G64" t="str">
        <x:v>GA</x:v>
      </x:c>
      <x:c r="H64" t="str">
        <x:v>Webinar</x:v>
      </x:c>
      <x:c r="I64" t="str">
        <x:v>Contacted</x:v>
      </x:c>
      <x:c r="J64" t="str">
        <x:v>Morgan Reed</x:v>
      </x:c>
      <x:c r="K64" s="6" t="n">
        <x:v>46097</x:v>
      </x:c>
      <x:c r="L64" s="6" t="n">
        <x:v>46187</x:v>
      </x:c>
      <x:c r="M64" s="6" t="n">
        <x:v>46191</x:v>
      </x:c>
      <x:c r="N64" s="8" t="n">
        <x:v>6700</x:v>
      </x:c>
      <x:c r="O64" t="str">
        <x:v>Professional Services</x:v>
      </x:c>
      <x:c r="P64" t="str">
        <x:v>No</x:v>
      </x:c>
      <x:c r="Q64" t="str">
        <x:v>No</x:v>
      </x:c>
      <x:c r="R64" s="6"/>
      <x:c r="S64" t="str">
        <x:f>IF(E64="","Unique",IF(COUNTIF($E$2:E64,E64)&gt;1,"Duplicate","Unique"))</x:f>
        <x:v>Unique</x:v>
      </x:c>
      <x:c r="T64" t="str">
        <x:f>IF(J64="Unassigned","Yes","No")</x:f>
        <x:v>No</x:v>
      </x:c>
      <x:c r="U64" t="str">
        <x:f>IF(AND(E64="",F64=""),"Yes","No")</x:f>
        <x:v>No</x:v>
      </x:c>
      <x:c r="V64" t="str">
        <x:f>IF(AND('Dashboard'!$B$2-L64&gt;30,I64&lt;&gt;"Closed Won",I64&lt;&gt;"Closed Lost"),"Yes","No")</x:f>
        <x:v>Yes</x:v>
      </x:c>
      <x:c r="W64" t="str">
        <x:f>IF(AND(M64&lt;&gt;"",M64&lt;'Dashboard'!$B$2,I64&lt;&gt;"Closed Won",I64&lt;&gt;"Closed Lost"),"Yes","No")</x:f>
        <x:v>Yes</x:v>
      </x:c>
      <x:c r="X64" t="str">
        <x:f>IF(OR(S64="Duplicate",T64="Yes",U64="Yes",D64="Unknown",W64="Yes"),"Yes","No")</x:f>
        <x:v>Yes</x:v>
      </x:c>
      <x:c r="Y64" t="n">
        <x:f>IF(S64="Duplicate",0,1)</x:f>
        <x:v>1</x:v>
      </x:c>
    </x:row>
    <x:row r="65">
      <x:c r="A65" t="str">
        <x:v>L-0064</x:v>
      </x:c>
      <x:c r="B65" t="str">
        <x:v>Sophia</x:v>
      </x:c>
      <x:c r="C65" t="str">
        <x:v>Thompson</x:v>
      </x:c>
      <x:c r="D65" t="str">
        <x:v>Unknown</x:v>
      </x:c>
      <x:c r="E65" t="str">
        <x:v>sophia.thompson204@mailhub.net</x:v>
      </x:c>
      <x:c r="F65" t="str">
        <x:v>(713) 241-1742</x:v>
      </x:c>
      <x:c r="G65" t="str">
        <x:v>TX</x:v>
      </x:c>
      <x:c r="H65" t="str">
        <x:v>Referral</x:v>
      </x:c>
      <x:c r="I65" t="str">
        <x:v>Closed Won</x:v>
      </x:c>
      <x:c r="J65" t="str">
        <x:v>Taylor Morgan</x:v>
      </x:c>
      <x:c r="K65" s="6" t="n">
        <x:v>46160</x:v>
      </x:c>
      <x:c r="L65" s="6" t="n">
        <x:v>46231</x:v>
      </x:c>
      <x:c r="M65" s="6"/>
      <x:c r="N65" s="8" t="n">
        <x:v>80000</x:v>
      </x:c>
      <x:c r="O65" t="str">
        <x:v>Manufacturing</x:v>
      </x:c>
      <x:c r="P65" t="str">
        <x:v>Yes</x:v>
      </x:c>
      <x:c r="Q65" t="str">
        <x:v>Yes</x:v>
      </x:c>
      <x:c r="R65" s="6" t="n">
        <x:v>46233</x:v>
      </x:c>
      <x:c r="S65" t="str">
        <x:f>IF(E65="","Unique",IF(COUNTIF($E$2:E65,E65)&gt;1,"Duplicate","Unique"))</x:f>
        <x:v>Unique</x:v>
      </x:c>
      <x:c r="T65" t="str">
        <x:f>IF(J65="Unassigned","Yes","No")</x:f>
        <x:v>No</x:v>
      </x:c>
      <x:c r="U65" t="str">
        <x:f>IF(AND(E65="",F65=""),"Yes","No")</x:f>
        <x:v>No</x:v>
      </x:c>
      <x:c r="V65" t="str">
        <x:f>IF(AND('Dashboard'!$B$2-L65&gt;30,I65&lt;&gt;"Closed Won",I65&lt;&gt;"Closed Lost"),"Yes","No")</x:f>
        <x:v>No</x:v>
      </x:c>
      <x:c r="W65" t="str">
        <x:f>IF(AND(M65&lt;&gt;"",M65&lt;'Dashboard'!$B$2,I65&lt;&gt;"Closed Won",I65&lt;&gt;"Closed Lost"),"Yes","No")</x:f>
        <x:v>No</x:v>
      </x:c>
      <x:c r="X65" t="str">
        <x:f>IF(OR(S65="Duplicate",T65="Yes",U65="Yes",D65="Unknown",W65="Yes"),"Yes","No")</x:f>
        <x:v>Yes</x:v>
      </x:c>
      <x:c r="Y65" t="n">
        <x:f>IF(S65="Duplicate",0,1)</x:f>
        <x:v>1</x:v>
      </x:c>
    </x:row>
    <x:row r="66">
      <x:c r="A66" t="str">
        <x:v>L-0065</x:v>
      </x:c>
      <x:c r="B66" t="str">
        <x:v>Evelyn</x:v>
      </x:c>
      <x:c r="C66" t="str">
        <x:v>Lee</x:v>
      </x:c>
      <x:c r="D66" t="str">
        <x:v>Atlas Commerce</x:v>
      </x:c>
      <x:c r="E66" t="str">
        <x:v>evelyn.lee894@northmail.com</x:v>
      </x:c>
      <x:c r="F66" t="str">
        <x:v>(812) 685-5350</x:v>
      </x:c>
      <x:c r="G66" t="str">
        <x:v>NC</x:v>
      </x:c>
      <x:c r="H66" t="str">
        <x:v>Email Campaign</x:v>
      </x:c>
      <x:c r="I66" t="str">
        <x:v>Contacted</x:v>
      </x:c>
      <x:c r="J66" t="str">
        <x:v>Jamie Brooks</x:v>
      </x:c>
      <x:c r="K66" s="6" t="n">
        <x:v>46074</x:v>
      </x:c>
      <x:c r="L66" s="6" t="n">
        <x:v>46102</x:v>
      </x:c>
      <x:c r="M66" s="6" t="n">
        <x:v>46118</x:v>
      </x:c>
      <x:c r="N66" s="8" t="n">
        <x:v>50700</x:v>
      </x:c>
      <x:c r="O66" t="str">
        <x:v>Financial Services</x:v>
      </x:c>
      <x:c r="P66" t="str">
        <x:v>No</x:v>
      </x:c>
      <x:c r="Q66" t="str">
        <x:v>No</x:v>
      </x:c>
      <x:c r="R66" s="6"/>
      <x:c r="S66" t="str">
        <x:f>IF(E66="","Unique",IF(COUNTIF($E$2:E66,E66)&gt;1,"Duplicate","Unique"))</x:f>
        <x:v>Unique</x:v>
      </x:c>
      <x:c r="T66" t="str">
        <x:f>IF(J66="Unassigned","Yes","No")</x:f>
        <x:v>No</x:v>
      </x:c>
      <x:c r="U66" t="str">
        <x:f>IF(AND(E66="",F66=""),"Yes","No")</x:f>
        <x:v>No</x:v>
      </x:c>
      <x:c r="V66" t="str">
        <x:f>IF(AND('Dashboard'!$B$2-L66&gt;30,I66&lt;&gt;"Closed Won",I66&lt;&gt;"Closed Lost"),"Yes","No")</x:f>
        <x:v>Yes</x:v>
      </x:c>
      <x:c r="W66" t="str">
        <x:f>IF(AND(M66&lt;&gt;"",M66&lt;'Dashboard'!$B$2,I66&lt;&gt;"Closed Won",I66&lt;&gt;"Closed Lost"),"Yes","No")</x:f>
        <x:v>Yes</x:v>
      </x:c>
      <x:c r="X66" t="str">
        <x:f>IF(OR(S66="Duplicate",T66="Yes",U66="Yes",D66="Unknown",W66="Yes"),"Yes","No")</x:f>
        <x:v>Yes</x:v>
      </x:c>
      <x:c r="Y66" t="n">
        <x:f>IF(S66="Duplicate",0,1)</x:f>
        <x:v>1</x:v>
      </x:c>
    </x:row>
    <x:row r="67">
      <x:c r="A67" t="str">
        <x:v>L-0066</x:v>
      </x:c>
      <x:c r="B67" t="str">
        <x:v>Noah</x:v>
      </x:c>
      <x:c r="C67" t="str">
        <x:v>Miller</x:v>
      </x:c>
      <x:c r="D67" t="str">
        <x:v>Northstar Labs</x:v>
      </x:c>
      <x:c r="E67" t="str">
        <x:v>noah.miller894@northmail.com</x:v>
      </x:c>
      <x:c r="F67" t="str">
        <x:v>(923) 341-9498</x:v>
      </x:c>
      <x:c r="G67" t="str">
        <x:v>IL</x:v>
      </x:c>
      <x:c r="H67" t="str">
        <x:v>Referral</x:v>
      </x:c>
      <x:c r="I67" t="str">
        <x:v>Contacted</x:v>
      </x:c>
      <x:c r="J67" t="str">
        <x:v>Morgan Reed</x:v>
      </x:c>
      <x:c r="K67" s="6" t="n">
        <x:v>46194</x:v>
      </x:c>
      <x:c r="L67" s="6" t="n">
        <x:v>46220</x:v>
      </x:c>
      <x:c r="M67" s="6" t="n">
        <x:v>46239</x:v>
      </x:c>
      <x:c r="N67" s="8" t="n">
        <x:v>66400</x:v>
      </x:c>
      <x:c r="O67" t="str">
        <x:v>Logistics</x:v>
      </x:c>
      <x:c r="P67" t="str">
        <x:v>No</x:v>
      </x:c>
      <x:c r="Q67" t="str">
        <x:v>No</x:v>
      </x:c>
      <x:c r="R67" s="6"/>
      <x:c r="S67" t="str">
        <x:f>IF(E67="","Unique",IF(COUNTIF($E$2:E67,E67)&gt;1,"Duplicate","Unique"))</x:f>
        <x:v>Unique</x:v>
      </x:c>
      <x:c r="T67" t="str">
        <x:f>IF(J67="Unassigned","Yes","No")</x:f>
        <x:v>No</x:v>
      </x:c>
      <x:c r="U67" t="str">
        <x:f>IF(AND(E67="",F67=""),"Yes","No")</x:f>
        <x:v>No</x:v>
      </x:c>
      <x:c r="V67" t="str">
        <x:f>IF(AND('Dashboard'!$B$2-L67&gt;30,I67&lt;&gt;"Closed Won",I67&lt;&gt;"Closed Lost"),"Yes","No")</x:f>
        <x:v>Yes</x:v>
      </x:c>
      <x:c r="W67" t="str">
        <x:f>IF(AND(M67&lt;&gt;"",M67&lt;'Dashboard'!$B$2,I67&lt;&gt;"Closed Won",I67&lt;&gt;"Closed Lost"),"Yes","No")</x:f>
        <x:v>Yes</x:v>
      </x:c>
      <x:c r="X67" t="str">
        <x:f>IF(OR(S67="Duplicate",T67="Yes",U67="Yes",D67="Unknown",W67="Yes"),"Yes","No")</x:f>
        <x:v>Yes</x:v>
      </x:c>
      <x:c r="Y67" t="n">
        <x:f>IF(S67="Duplicate",0,1)</x:f>
        <x:v>1</x:v>
      </x:c>
    </x:row>
    <x:row r="68">
      <x:c r="A68" t="str">
        <x:v>L-0067</x:v>
      </x:c>
      <x:c r="B68" t="str">
        <x:v>Mason</x:v>
      </x:c>
      <x:c r="C68" t="str">
        <x:v>Rodriguez</x:v>
      </x:c>
      <x:c r="D68" t="str">
        <x:v>Evergreen Services</x:v>
      </x:c>
      <x:c r="E68" t="str">
        <x:v>mason.rodriguez574@prospect.co</x:v>
      </x:c>
      <x:c r="F68" t="str">
        <x:v>(495) 324-9899</x:v>
      </x:c>
      <x:c r="G68" t="str">
        <x:v>NY</x:v>
      </x:c>
      <x:c r="H68" t="str">
        <x:v>Email Campaign</x:v>
      </x:c>
      <x:c r="I68" t="str">
        <x:v>Opportunity</x:v>
      </x:c>
      <x:c r="J68" t="str">
        <x:v>Casey Patel</x:v>
      </x:c>
      <x:c r="K68" s="6" t="n">
        <x:v>46070</x:v>
      </x:c>
      <x:c r="L68" s="6" t="n">
        <x:v>46250</x:v>
      </x:c>
      <x:c r="M68" s="6" t="n">
        <x:v>46268</x:v>
      </x:c>
      <x:c r="N68" s="8" t="n">
        <x:v>28700</x:v>
      </x:c>
      <x:c r="O68" t="str">
        <x:v>Retail</x:v>
      </x:c>
      <x:c r="P68" t="str">
        <x:v>Yes</x:v>
      </x:c>
      <x:c r="Q68" t="str">
        <x:v>No</x:v>
      </x:c>
      <x:c r="R68" s="6"/>
      <x:c r="S68" t="str">
        <x:f>IF(E68="","Unique",IF(COUNTIF($E$2:E68,E68)&gt;1,"Duplicate","Unique"))</x:f>
        <x:v>Unique</x:v>
      </x:c>
      <x:c r="T68" t="str">
        <x:f>IF(J68="Unassigned","Yes","No")</x:f>
        <x:v>No</x:v>
      </x:c>
      <x:c r="U68" t="str">
        <x:f>IF(AND(E68="",F68=""),"Yes","No")</x:f>
        <x:v>No</x:v>
      </x:c>
      <x:c r="V68" t="str">
        <x:f>IF(AND('Dashboard'!$B$2-L68&gt;30,I68&lt;&gt;"Closed Won",I68&lt;&gt;"Closed Lost"),"Yes","No")</x:f>
        <x:v>No</x:v>
      </x:c>
      <x:c r="W68" t="str">
        <x:f>IF(AND(M68&lt;&gt;"",M68&lt;'Dashboard'!$B$2,I68&lt;&gt;"Closed Won",I68&lt;&gt;"Closed Lost"),"Yes","No")</x:f>
        <x:v>No</x:v>
      </x:c>
      <x:c r="X68" t="str">
        <x:f>IF(OR(S68="Duplicate",T68="Yes",U68="Yes",D68="Unknown",W68="Yes"),"Yes","No")</x:f>
        <x:v>No</x:v>
      </x:c>
      <x:c r="Y68" t="n">
        <x:f>IF(S68="Duplicate",0,1)</x:f>
        <x:v>1</x:v>
      </x:c>
    </x:row>
    <x:row r="69">
      <x:c r="A69" t="str">
        <x:v>L-0068</x:v>
      </x:c>
      <x:c r="B69" t="str">
        <x:v>Elijah</x:v>
      </x:c>
      <x:c r="C69" t="str">
        <x:v>Rodriguez</x:v>
      </x:c>
      <x:c r="D69" t="str">
        <x:v>Horizon Bio</x:v>
      </x:c>
      <x:c r="E69" t="str">
        <x:v>elijah.rodriguez654@examplebiz.com</x:v>
      </x:c>
      <x:c r="F69" t="str">
        <x:v>(254) 302-7771</x:v>
      </x:c>
      <x:c r="G69" t="str">
        <x:v>TX</x:v>
      </x:c>
      <x:c r="H69" t="str">
        <x:v>Trade Show</x:v>
      </x:c>
      <x:c r="I69" t="str">
        <x:v>Qualified</x:v>
      </x:c>
      <x:c r="J69" t="str">
        <x:v>Taylor Morgan</x:v>
      </x:c>
      <x:c r="K69" s="6" t="n">
        <x:v>46184</x:v>
      </x:c>
      <x:c r="L69" s="6" t="n">
        <x:v>46190</x:v>
      </x:c>
      <x:c r="M69" s="6" t="n">
        <x:v>46214</x:v>
      </x:c>
      <x:c r="N69" s="8" t="n">
        <x:v>77200</x:v>
      </x:c>
      <x:c r="O69" t="str">
        <x:v>Manufacturing</x:v>
      </x:c>
      <x:c r="P69" t="str">
        <x:v>Yes</x:v>
      </x:c>
      <x:c r="Q69" t="str">
        <x:v>No</x:v>
      </x:c>
      <x:c r="R69" s="6"/>
      <x:c r="S69" t="str">
        <x:f>IF(E69="","Unique",IF(COUNTIF($E$2:E69,E69)&gt;1,"Duplicate","Unique"))</x:f>
        <x:v>Unique</x:v>
      </x:c>
      <x:c r="T69" t="str">
        <x:f>IF(J69="Unassigned","Yes","No")</x:f>
        <x:v>No</x:v>
      </x:c>
      <x:c r="U69" t="str">
        <x:f>IF(AND(E69="",F69=""),"Yes","No")</x:f>
        <x:v>No</x:v>
      </x:c>
      <x:c r="V69" t="str">
        <x:f>IF(AND('Dashboard'!$B$2-L69&gt;30,I69&lt;&gt;"Closed Won",I69&lt;&gt;"Closed Lost"),"Yes","No")</x:f>
        <x:v>Yes</x:v>
      </x:c>
      <x:c r="W69" t="str">
        <x:f>IF(AND(M69&lt;&gt;"",M69&lt;'Dashboard'!$B$2,I69&lt;&gt;"Closed Won",I69&lt;&gt;"Closed Lost"),"Yes","No")</x:f>
        <x:v>Yes</x:v>
      </x:c>
      <x:c r="X69" t="str">
        <x:f>IF(OR(S69="Duplicate",T69="Yes",U69="Yes",D69="Unknown",W69="Yes"),"Yes","No")</x:f>
        <x:v>Yes</x:v>
      </x:c>
      <x:c r="Y69" t="n">
        <x:f>IF(S69="Duplicate",0,1)</x:f>
        <x:v>1</x:v>
      </x:c>
    </x:row>
    <x:row r="70">
      <x:c r="A70" t="str">
        <x:v>L-0069</x:v>
      </x:c>
      <x:c r="B70" t="str">
        <x:v>Liam</x:v>
      </x:c>
      <x:c r="C70" t="str">
        <x:v>Williams</x:v>
      </x:c>
      <x:c r="D70" t="str">
        <x:v>Clearview Media</x:v>
      </x:c>
      <x:c r="E70" t="str">
        <x:v>liam.williams191@prospect.co</x:v>
      </x:c>
      <x:c r="F70" t="str">
        <x:v>(239) 209-5888</x:v>
      </x:c>
      <x:c r="G70" t="str">
        <x:v>CA</x:v>
      </x:c>
      <x:c r="H70" t="str">
        <x:v>Referral</x:v>
      </x:c>
      <x:c r="I70" t="str">
        <x:v>Closed Won</x:v>
      </x:c>
      <x:c r="J70" t="str">
        <x:v>Morgan Reed</x:v>
      </x:c>
      <x:c r="K70" s="6" t="n">
        <x:v>46237</x:v>
      </x:c>
      <x:c r="L70" s="6" t="n">
        <x:v>46250</x:v>
      </x:c>
      <x:c r="M70" s="6"/>
      <x:c r="N70" s="8" t="n">
        <x:v>35300</x:v>
      </x:c>
      <x:c r="O70" t="str">
        <x:v>Healthcare</x:v>
      </x:c>
      <x:c r="P70" t="str">
        <x:v>Yes</x:v>
      </x:c>
      <x:c r="Q70" t="str">
        <x:v>Yes</x:v>
      </x:c>
      <x:c r="R70" s="6" t="n">
        <x:v>46251</x:v>
      </x:c>
      <x:c r="S70" t="str">
        <x:f>IF(E70="","Unique",IF(COUNTIF($E$2:E70,E70)&gt;1,"Duplicate","Unique"))</x:f>
        <x:v>Unique</x:v>
      </x:c>
      <x:c r="T70" t="str">
        <x:f>IF(J70="Unassigned","Yes","No")</x:f>
        <x:v>No</x:v>
      </x:c>
      <x:c r="U70" t="str">
        <x:f>IF(AND(E70="",F70=""),"Yes","No")</x:f>
        <x:v>No</x:v>
      </x:c>
      <x:c r="V70" t="str">
        <x:f>IF(AND('Dashboard'!$B$2-L70&gt;30,I70&lt;&gt;"Closed Won",I70&lt;&gt;"Closed Lost"),"Yes","No")</x:f>
        <x:v>No</x:v>
      </x:c>
      <x:c r="W70" t="str">
        <x:f>IF(AND(M70&lt;&gt;"",M70&lt;'Dashboard'!$B$2,I70&lt;&gt;"Closed Won",I70&lt;&gt;"Closed Lost"),"Yes","No")</x:f>
        <x:v>No</x:v>
      </x:c>
      <x:c r="X70" t="str">
        <x:f>IF(OR(S70="Duplicate",T70="Yes",U70="Yes",D70="Unknown",W70="Yes"),"Yes","No")</x:f>
        <x:v>No</x:v>
      </x:c>
      <x:c r="Y70" t="n">
        <x:f>IF(S70="Duplicate",0,1)</x:f>
        <x:v>1</x:v>
      </x:c>
    </x:row>
    <x:row r="71">
      <x:c r="A71" t="str">
        <x:v>L-0070</x:v>
      </x:c>
      <x:c r="B71" t="str">
        <x:v>Sophia</x:v>
      </x:c>
      <x:c r="C71" t="str">
        <x:v>Garcia</x:v>
      </x:c>
      <x:c r="D71" t="str">
        <x:v>Northstar Labs</x:v>
      </x:c>
      <x:c r="E71" t="str">
        <x:v>sophia.garcia528@prospect.co</x:v>
      </x:c>
      <x:c r="F71" t="str">
        <x:v>289-610-2562</x:v>
      </x:c>
      <x:c r="G71" t="str">
        <x:v>NY</x:v>
      </x:c>
      <x:c r="H71" t="str">
        <x:v>Trade Show</x:v>
      </x:c>
      <x:c r="I71" t="str">
        <x:v>Opportunity</x:v>
      </x:c>
      <x:c r="J71" t="str">
        <x:v>Morgan Reed</x:v>
      </x:c>
      <x:c r="K71" s="6" t="n">
        <x:v>46202</x:v>
      </x:c>
      <x:c r="L71" s="6" t="n">
        <x:v>46241</x:v>
      </x:c>
      <x:c r="M71" s="6" t="n">
        <x:v>46264</x:v>
      </x:c>
      <x:c r="N71" s="8" t="n">
        <x:v>76500</x:v>
      </x:c>
      <x:c r="O71" t="str">
        <x:v>Biotech</x:v>
      </x:c>
      <x:c r="P71" t="str">
        <x:v>Yes</x:v>
      </x:c>
      <x:c r="Q71" t="str">
        <x:v>No</x:v>
      </x:c>
      <x:c r="R71" s="6"/>
      <x:c r="S71" t="str">
        <x:f>IF(E71="","Unique",IF(COUNTIF($E$2:E71,E71)&gt;1,"Duplicate","Unique"))</x:f>
        <x:v>Unique</x:v>
      </x:c>
      <x:c r="T71" t="str">
        <x:f>IF(J71="Unassigned","Yes","No")</x:f>
        <x:v>No</x:v>
      </x:c>
      <x:c r="U71" t="str">
        <x:f>IF(AND(E71="",F71=""),"Yes","No")</x:f>
        <x:v>No</x:v>
      </x:c>
      <x:c r="V71" t="str">
        <x:f>IF(AND('Dashboard'!$B$2-L71&gt;30,I71&lt;&gt;"Closed Won",I71&lt;&gt;"Closed Lost"),"Yes","No")</x:f>
        <x:v>No</x:v>
      </x:c>
      <x:c r="W71" t="str">
        <x:f>IF(AND(M71&lt;&gt;"",M71&lt;'Dashboard'!$B$2,I71&lt;&gt;"Closed Won",I71&lt;&gt;"Closed Lost"),"Yes","No")</x:f>
        <x:v>No</x:v>
      </x:c>
      <x:c r="X71" t="str">
        <x:f>IF(OR(S71="Duplicate",T71="Yes",U71="Yes",D71="Unknown",W71="Yes"),"Yes","No")</x:f>
        <x:v>No</x:v>
      </x:c>
      <x:c r="Y71" t="n">
        <x:f>IF(S71="Duplicate",0,1)</x:f>
        <x:v>1</x:v>
      </x:c>
    </x:row>
    <x:row r="72">
      <x:c r="A72" t="str">
        <x:v>L-0071</x:v>
      </x:c>
      <x:c r="B72" t="str">
        <x:v>Noah</x:v>
      </x:c>
      <x:c r="C72" t="str">
        <x:v>Moore</x:v>
      </x:c>
      <x:c r="D72" t="str">
        <x:v>Evergreen Services</x:v>
      </x:c>
      <x:c r="E72" t="str">
        <x:v>noah.moore939@prospect.co</x:v>
      </x:c>
      <x:c r="F72" t="str">
        <x:v>(577) 829-4618</x:v>
      </x:c>
      <x:c r="G72" t="str">
        <x:v>AZ</x:v>
      </x:c>
      <x:c r="H72" t="str">
        <x:v>LinkedIn</x:v>
      </x:c>
      <x:c r="I72" t="str">
        <x:v>Closed Lost</x:v>
      </x:c>
      <x:c r="J72" t="str">
        <x:v>Jamie Brooks</x:v>
      </x:c>
      <x:c r="K72" s="6" t="n">
        <x:v>46066</x:v>
      </x:c>
      <x:c r="L72" s="6" t="n">
        <x:v>46145</x:v>
      </x:c>
      <x:c r="M72" s="6"/>
      <x:c r="N72" s="8" t="n">
        <x:v>59400</x:v>
      </x:c>
      <x:c r="O72" t="str">
        <x:v>Manufacturing</x:v>
      </x:c>
      <x:c r="P72" t="str">
        <x:v>Yes</x:v>
      </x:c>
      <x:c r="Q72" t="str">
        <x:v>No</x:v>
      </x:c>
      <x:c r="R72" s="6" t="n">
        <x:v>46153</x:v>
      </x:c>
      <x:c r="S72" t="str">
        <x:f>IF(E72="","Unique",IF(COUNTIF($E$2:E72,E72)&gt;1,"Duplicate","Unique"))</x:f>
        <x:v>Unique</x:v>
      </x:c>
      <x:c r="T72" t="str">
        <x:f>IF(J72="Unassigned","Yes","No")</x:f>
        <x:v>No</x:v>
      </x:c>
      <x:c r="U72" t="str">
        <x:f>IF(AND(E72="",F72=""),"Yes","No")</x:f>
        <x:v>No</x:v>
      </x:c>
      <x:c r="V72" t="str">
        <x:f>IF(AND('Dashboard'!$B$2-L72&gt;30,I72&lt;&gt;"Closed Won",I72&lt;&gt;"Closed Lost"),"Yes","No")</x:f>
        <x:v>No</x:v>
      </x:c>
      <x:c r="W72" t="str">
        <x:f>IF(AND(M72&lt;&gt;"",M72&lt;'Dashboard'!$B$2,I72&lt;&gt;"Closed Won",I72&lt;&gt;"Closed Lost"),"Yes","No")</x:f>
        <x:v>No</x:v>
      </x:c>
      <x:c r="X72" t="str">
        <x:f>IF(OR(S72="Duplicate",T72="Yes",U72="Yes",D72="Unknown",W72="Yes"),"Yes","No")</x:f>
        <x:v>No</x:v>
      </x:c>
      <x:c r="Y72" t="n">
        <x:f>IF(S72="Duplicate",0,1)</x:f>
        <x:v>1</x:v>
      </x:c>
    </x:row>
    <x:row r="73">
      <x:c r="A73" t="str">
        <x:v>L-0072</x:v>
      </x:c>
      <x:c r="B73" t="str">
        <x:v>Logan</x:v>
      </x:c>
      <x:c r="C73" t="str">
        <x:v>Williams</x:v>
      </x:c>
      <x:c r="D73" t="str">
        <x:v>Summit Analytics</x:v>
      </x:c>
      <x:c r="E73" t="str">
        <x:v>logan.williams453@northmail.com</x:v>
      </x:c>
      <x:c r="F73" t="str">
        <x:v>(897) 410-9008</x:v>
      </x:c>
      <x:c r="G73" t="str">
        <x:v>GA</x:v>
      </x:c>
      <x:c r="H73" t="str">
        <x:v>Outbound</x:v>
      </x:c>
      <x:c r="I73" t="str">
        <x:v>Contacted</x:v>
      </x:c>
      <x:c r="J73" t="str">
        <x:v>Alex Kim</x:v>
      </x:c>
      <x:c r="K73" s="6" t="n">
        <x:v>46109</x:v>
      </x:c>
      <x:c r="L73" s="6" t="n">
        <x:v>46147</x:v>
      </x:c>
      <x:c r="M73" s="6" t="n">
        <x:v>46155</x:v>
      </x:c>
      <x:c r="N73" s="8" t="n">
        <x:v>29600</x:v>
      </x:c>
      <x:c r="O73" t="str">
        <x:v>Healthcare</x:v>
      </x:c>
      <x:c r="P73" t="str">
        <x:v>No</x:v>
      </x:c>
      <x:c r="Q73" t="str">
        <x:v>No</x:v>
      </x:c>
      <x:c r="R73" s="6"/>
      <x:c r="S73" t="str">
        <x:f>IF(E73="","Unique",IF(COUNTIF($E$2:E73,E73)&gt;1,"Duplicate","Unique"))</x:f>
        <x:v>Unique</x:v>
      </x:c>
      <x:c r="T73" t="str">
        <x:f>IF(J73="Unassigned","Yes","No")</x:f>
        <x:v>No</x:v>
      </x:c>
      <x:c r="U73" t="str">
        <x:f>IF(AND(E73="",F73=""),"Yes","No")</x:f>
        <x:v>No</x:v>
      </x:c>
      <x:c r="V73" t="str">
        <x:f>IF(AND('Dashboard'!$B$2-L73&gt;30,I73&lt;&gt;"Closed Won",I73&lt;&gt;"Closed Lost"),"Yes","No")</x:f>
        <x:v>Yes</x:v>
      </x:c>
      <x:c r="W73" t="str">
        <x:f>IF(AND(M73&lt;&gt;"",M73&lt;'Dashboard'!$B$2,I73&lt;&gt;"Closed Won",I73&lt;&gt;"Closed Lost"),"Yes","No")</x:f>
        <x:v>Yes</x:v>
      </x:c>
      <x:c r="X73" t="str">
        <x:f>IF(OR(S73="Duplicate",T73="Yes",U73="Yes",D73="Unknown",W73="Yes"),"Yes","No")</x:f>
        <x:v>Yes</x:v>
      </x:c>
      <x:c r="Y73" t="n">
        <x:f>IF(S73="Duplicate",0,1)</x:f>
        <x:v>1</x:v>
      </x:c>
    </x:row>
    <x:row r="74">
      <x:c r="A74" t="str">
        <x:v>L-0073</x:v>
      </x:c>
      <x:c r="B74" t="str">
        <x:v>Liam</x:v>
      </x:c>
      <x:c r="C74" t="str">
        <x:v>Taylor</x:v>
      </x:c>
      <x:c r="D74" t="str">
        <x:v>Pioneer Tech</x:v>
      </x:c>
      <x:c r="E74" t="str">
        <x:v>liam.taylor185@examplebiz.com</x:v>
      </x:c>
      <x:c r="F74" t="str">
        <x:v>(985) 856-7887</x:v>
      </x:c>
      <x:c r="G74" t="str">
        <x:v>GA</x:v>
      </x:c>
      <x:c r="H74" t="str">
        <x:v>Outbound</x:v>
      </x:c>
      <x:c r="I74" t="str">
        <x:v>Closed Lost</x:v>
      </x:c>
      <x:c r="J74" t="str">
        <x:v>Morgan Reed</x:v>
      </x:c>
      <x:c r="K74" s="6" t="n">
        <x:v>46229</x:v>
      </x:c>
      <x:c r="L74" s="6" t="n">
        <x:v>46244</x:v>
      </x:c>
      <x:c r="M74" s="6"/>
      <x:c r="N74" s="8" t="n">
        <x:v>5100</x:v>
      </x:c>
      <x:c r="O74" t="str">
        <x:v>Technology</x:v>
      </x:c>
      <x:c r="P74" t="str">
        <x:v>Yes</x:v>
      </x:c>
      <x:c r="Q74" t="str">
        <x:v>No</x:v>
      </x:c>
      <x:c r="R74" s="6" t="n">
        <x:v>46251</x:v>
      </x:c>
      <x:c r="S74" t="str">
        <x:f>IF(E74="","Unique",IF(COUNTIF($E$2:E74,E74)&gt;1,"Duplicate","Unique"))</x:f>
        <x:v>Unique</x:v>
      </x:c>
      <x:c r="T74" t="str">
        <x:f>IF(J74="Unassigned","Yes","No")</x:f>
        <x:v>No</x:v>
      </x:c>
      <x:c r="U74" t="str">
        <x:f>IF(AND(E74="",F74=""),"Yes","No")</x:f>
        <x:v>No</x:v>
      </x:c>
      <x:c r="V74" t="str">
        <x:f>IF(AND('Dashboard'!$B$2-L74&gt;30,I74&lt;&gt;"Closed Won",I74&lt;&gt;"Closed Lost"),"Yes","No")</x:f>
        <x:v>No</x:v>
      </x:c>
      <x:c r="W74" t="str">
        <x:f>IF(AND(M74&lt;&gt;"",M74&lt;'Dashboard'!$B$2,I74&lt;&gt;"Closed Won",I74&lt;&gt;"Closed Lost"),"Yes","No")</x:f>
        <x:v>No</x:v>
      </x:c>
      <x:c r="X74" t="str">
        <x:f>IF(OR(S74="Duplicate",T74="Yes",U74="Yes",D74="Unknown",W74="Yes"),"Yes","No")</x:f>
        <x:v>No</x:v>
      </x:c>
      <x:c r="Y74" t="n">
        <x:f>IF(S74="Duplicate",0,1)</x:f>
        <x:v>1</x:v>
      </x:c>
    </x:row>
    <x:row r="75">
      <x:c r="A75" t="str">
        <x:v>L-0074</x:v>
      </x:c>
      <x:c r="B75" t="str">
        <x:v>Ava</x:v>
      </x:c>
      <x:c r="C75" t="str">
        <x:v>Martinez</x:v>
      </x:c>
      <x:c r="D75" t="str">
        <x:v>Prairie Health</x:v>
      </x:c>
      <x:c r="E75" t="str">
        <x:v>ava.martinez784@northmail.com</x:v>
      </x:c>
      <x:c r="F75" t="str">
        <x:v>233-876-7868</x:v>
      </x:c>
      <x:c r="G75" t="str">
        <x:v>GA</x:v>
      </x:c>
      <x:c r="H75" t="str">
        <x:v>Referral</x:v>
      </x:c>
      <x:c r="I75" t="str">
        <x:v>Contacted</x:v>
      </x:c>
      <x:c r="J75" t="str">
        <x:v>Jamie Brooks</x:v>
      </x:c>
      <x:c r="K75" s="6" t="n">
        <x:v>46129</x:v>
      </x:c>
      <x:c r="L75" s="6" t="n">
        <x:v>46173</x:v>
      </x:c>
      <x:c r="M75" s="6" t="n">
        <x:v>46180</x:v>
      </x:c>
      <x:c r="N75" s="8" t="n">
        <x:v>25200</x:v>
      </x:c>
      <x:c r="O75" t="str">
        <x:v>Professional Services</x:v>
      </x:c>
      <x:c r="P75" t="str">
        <x:v>No</x:v>
      </x:c>
      <x:c r="Q75" t="str">
        <x:v>No</x:v>
      </x:c>
      <x:c r="R75" s="6"/>
      <x:c r="S75" t="str">
        <x:f>IF(E75="","Unique",IF(COUNTIF($E$2:E75,E75)&gt;1,"Duplicate","Unique"))</x:f>
        <x:v>Unique</x:v>
      </x:c>
      <x:c r="T75" t="str">
        <x:f>IF(J75="Unassigned","Yes","No")</x:f>
        <x:v>No</x:v>
      </x:c>
      <x:c r="U75" t="str">
        <x:f>IF(AND(E75="",F75=""),"Yes","No")</x:f>
        <x:v>No</x:v>
      </x:c>
      <x:c r="V75" t="str">
        <x:f>IF(AND('Dashboard'!$B$2-L75&gt;30,I75&lt;&gt;"Closed Won",I75&lt;&gt;"Closed Lost"),"Yes","No")</x:f>
        <x:v>Yes</x:v>
      </x:c>
      <x:c r="W75" t="str">
        <x:f>IF(AND(M75&lt;&gt;"",M75&lt;'Dashboard'!$B$2,I75&lt;&gt;"Closed Won",I75&lt;&gt;"Closed Lost"),"Yes","No")</x:f>
        <x:v>Yes</x:v>
      </x:c>
      <x:c r="X75" t="str">
        <x:f>IF(OR(S75="Duplicate",T75="Yes",U75="Yes",D75="Unknown",W75="Yes"),"Yes","No")</x:f>
        <x:v>Yes</x:v>
      </x:c>
      <x:c r="Y75" t="n">
        <x:f>IF(S75="Duplicate",0,1)</x:f>
        <x:v>1</x:v>
      </x:c>
    </x:row>
    <x:row r="76">
      <x:c r="A76" t="str">
        <x:v>L-0075</x:v>
      </x:c>
      <x:c r="B76" t="str">
        <x:v>Liam</x:v>
      </x:c>
      <x:c r="C76" t="str">
        <x:v>Jones</x:v>
      </x:c>
      <x:c r="D76" t="str">
        <x:v>Unknown</x:v>
      </x:c>
      <x:c r="E76" t="str">
        <x:v>liam.jones677@examplebiz.com</x:v>
      </x:c>
      <x:c r="F76" t="str">
        <x:v>(624) 507-5508</x:v>
      </x:c>
      <x:c r="G76" t="str">
        <x:v>PA</x:v>
      </x:c>
      <x:c r="H76" t="str">
        <x:v>Trade Show</x:v>
      </x:c>
      <x:c r="I76" t="str">
        <x:v>Qualified</x:v>
      </x:c>
      <x:c r="J76" t="str">
        <x:v>Taylor Morgan</x:v>
      </x:c>
      <x:c r="K76" s="6" t="n">
        <x:v>46049</x:v>
      </x:c>
      <x:c r="L76" s="6" t="n">
        <x:v>46221</x:v>
      </x:c>
      <x:c r="M76" s="6" t="n">
        <x:v>46234</x:v>
      </x:c>
      <x:c r="N76" s="8" t="n">
        <x:v>22000</x:v>
      </x:c>
      <x:c r="O76" t="str">
        <x:v>Retail</x:v>
      </x:c>
      <x:c r="P76" t="str">
        <x:v>Yes</x:v>
      </x:c>
      <x:c r="Q76" t="str">
        <x:v>No</x:v>
      </x:c>
      <x:c r="R76" s="6"/>
      <x:c r="S76" t="str">
        <x:f>IF(E76="","Unique",IF(COUNTIF($E$2:E76,E76)&gt;1,"Duplicate","Unique"))</x:f>
        <x:v>Unique</x:v>
      </x:c>
      <x:c r="T76" t="str">
        <x:f>IF(J76="Unassigned","Yes","No")</x:f>
        <x:v>No</x:v>
      </x:c>
      <x:c r="U76" t="str">
        <x:f>IF(AND(E76="",F76=""),"Yes","No")</x:f>
        <x:v>No</x:v>
      </x:c>
      <x:c r="V76" t="str">
        <x:f>IF(AND('Dashboard'!$B$2-L76&gt;30,I76&lt;&gt;"Closed Won",I76&lt;&gt;"Closed Lost"),"Yes","No")</x:f>
        <x:v>No</x:v>
      </x:c>
      <x:c r="W76" t="str">
        <x:f>IF(AND(M76&lt;&gt;"",M76&lt;'Dashboard'!$B$2,I76&lt;&gt;"Closed Won",I76&lt;&gt;"Closed Lost"),"Yes","No")</x:f>
        <x:v>Yes</x:v>
      </x:c>
      <x:c r="X76" t="str">
        <x:f>IF(OR(S76="Duplicate",T76="Yes",U76="Yes",D76="Unknown",W76="Yes"),"Yes","No")</x:f>
        <x:v>Yes</x:v>
      </x:c>
      <x:c r="Y76" t="n">
        <x:f>IF(S76="Duplicate",0,1)</x:f>
        <x:v>1</x:v>
      </x:c>
    </x:row>
    <x:row r="77">
      <x:c r="A77" t="str">
        <x:v>L-0076</x:v>
      </x:c>
      <x:c r="B77" t="str">
        <x:v>Lucas</x:v>
      </x:c>
      <x:c r="C77" t="str">
        <x:v>Thomas</x:v>
      </x:c>
      <x:c r="D77" t="str">
        <x:v>Cedarworks</x:v>
      </x:c>
      <x:c r="E77" t="str">
        <x:v>lucas.thomas423@mailhub.net</x:v>
      </x:c>
      <x:c r="F77" t="str">
        <x:v>(771) 742-3196</x:v>
      </x:c>
      <x:c r="G77" t="str">
        <x:v>FL</x:v>
      </x:c>
      <x:c r="H77" t="str">
        <x:v>Email Campaign</x:v>
      </x:c>
      <x:c r="I77" t="str">
        <x:v>Contacted</x:v>
      </x:c>
      <x:c r="J77" t="str">
        <x:v>Alex Kim</x:v>
      </x:c>
      <x:c r="K77" s="6" t="n">
        <x:v>46065</x:v>
      </x:c>
      <x:c r="L77" s="6" t="n">
        <x:v>46101</x:v>
      </x:c>
      <x:c r="M77" s="6" t="n">
        <x:v>46118</x:v>
      </x:c>
      <x:c r="N77" s="8" t="n">
        <x:v>78000</x:v>
      </x:c>
      <x:c r="O77" t="str">
        <x:v>Logistics</x:v>
      </x:c>
      <x:c r="P77" t="str">
        <x:v>No</x:v>
      </x:c>
      <x:c r="Q77" t="str">
        <x:v>No</x:v>
      </x:c>
      <x:c r="R77" s="6"/>
      <x:c r="S77" t="str">
        <x:f>IF(E77="","Unique",IF(COUNTIF($E$2:E77,E77)&gt;1,"Duplicate","Unique"))</x:f>
        <x:v>Unique</x:v>
      </x:c>
      <x:c r="T77" t="str">
        <x:f>IF(J77="Unassigned","Yes","No")</x:f>
        <x:v>No</x:v>
      </x:c>
      <x:c r="U77" t="str">
        <x:f>IF(AND(E77="",F77=""),"Yes","No")</x:f>
        <x:v>No</x:v>
      </x:c>
      <x:c r="V77" t="str">
        <x:f>IF(AND('Dashboard'!$B$2-L77&gt;30,I77&lt;&gt;"Closed Won",I77&lt;&gt;"Closed Lost"),"Yes","No")</x:f>
        <x:v>Yes</x:v>
      </x:c>
      <x:c r="W77" t="str">
        <x:f>IF(AND(M77&lt;&gt;"",M77&lt;'Dashboard'!$B$2,I77&lt;&gt;"Closed Won",I77&lt;&gt;"Closed Lost"),"Yes","No")</x:f>
        <x:v>Yes</x:v>
      </x:c>
      <x:c r="X77" t="str">
        <x:f>IF(OR(S77="Duplicate",T77="Yes",U77="Yes",D77="Unknown",W77="Yes"),"Yes","No")</x:f>
        <x:v>Yes</x:v>
      </x:c>
      <x:c r="Y77" t="n">
        <x:f>IF(S77="Duplicate",0,1)</x:f>
        <x:v>1</x:v>
      </x:c>
    </x:row>
    <x:row r="78">
      <x:c r="A78" t="str">
        <x:v>L-0077</x:v>
      </x:c>
      <x:c r="B78" t="str">
        <x:v>Luna</x:v>
      </x:c>
      <x:c r="C78" t="str">
        <x:v>Lee</x:v>
      </x:c>
      <x:c r="D78" t="str">
        <x:v>Apex Manufacturing</x:v>
      </x:c>
      <x:c r="E78" t="str">
        <x:v>luna.lee765@mailhub.net</x:v>
      </x:c>
      <x:c r="F78" t="str">
        <x:v>(449) 912-4350</x:v>
      </x:c>
      <x:c r="G78" t="str">
        <x:v>FL</x:v>
      </x:c>
      <x:c r="H78" t="str">
        <x:v>Email Campaign</x:v>
      </x:c>
      <x:c r="I78" t="str">
        <x:v>Contacted</x:v>
      </x:c>
      <x:c r="J78" t="str">
        <x:v>Jordan Lee</x:v>
      </x:c>
      <x:c r="K78" s="6" t="n">
        <x:v>46243</x:v>
      </x:c>
      <x:c r="L78" s="6" t="n">
        <x:v>46246</x:v>
      </x:c>
      <x:c r="M78" s="6" t="n">
        <x:v>46255</x:v>
      </x:c>
      <x:c r="N78" s="8" t="n">
        <x:v>81900</x:v>
      </x:c>
      <x:c r="O78" t="str">
        <x:v>Logistics</x:v>
      </x:c>
      <x:c r="P78" t="str">
        <x:v>No</x:v>
      </x:c>
      <x:c r="Q78" t="str">
        <x:v>No</x:v>
      </x:c>
      <x:c r="R78" s="6"/>
      <x:c r="S78" t="str">
        <x:f>IF(E78="","Unique",IF(COUNTIF($E$2:E78,E78)&gt;1,"Duplicate","Unique"))</x:f>
        <x:v>Unique</x:v>
      </x:c>
      <x:c r="T78" t="str">
        <x:f>IF(J78="Unassigned","Yes","No")</x:f>
        <x:v>No</x:v>
      </x:c>
      <x:c r="U78" t="str">
        <x:f>IF(AND(E78="",F78=""),"Yes","No")</x:f>
        <x:v>No</x:v>
      </x:c>
      <x:c r="V78" t="str">
        <x:f>IF(AND('Dashboard'!$B$2-L78&gt;30,I78&lt;&gt;"Closed Won",I78&lt;&gt;"Closed Lost"),"Yes","No")</x:f>
        <x:v>No</x:v>
      </x:c>
      <x:c r="W78" t="str">
        <x:f>IF(AND(M78&lt;&gt;"",M78&lt;'Dashboard'!$B$2,I78&lt;&gt;"Closed Won",I78&lt;&gt;"Closed Lost"),"Yes","No")</x:f>
        <x:v>No</x:v>
      </x:c>
      <x:c r="X78" t="str">
        <x:f>IF(OR(S78="Duplicate",T78="Yes",U78="Yes",D78="Unknown",W78="Yes"),"Yes","No")</x:f>
        <x:v>No</x:v>
      </x:c>
      <x:c r="Y78" t="n">
        <x:f>IF(S78="Duplicate",0,1)</x:f>
        <x:v>1</x:v>
      </x:c>
    </x:row>
    <x:row r="79">
      <x:c r="A79" t="str">
        <x:v>L-0078</x:v>
      </x:c>
      <x:c r="B79" t="str">
        <x:v>Logan</x:v>
      </x:c>
      <x:c r="C79" t="str">
        <x:v>Wilson</x:v>
      </x:c>
      <x:c r="D79" t="str">
        <x:v>Vertex Solutions</x:v>
      </x:c>
      <x:c r="E79" t="str">
        <x:v>logan.wilson738@mailhub.net</x:v>
      </x:c>
      <x:c r="F79" t="str">
        <x:v>(503) 356-4214</x:v>
      </x:c>
      <x:c r="G79" t="str">
        <x:v>WA</x:v>
      </x:c>
      <x:c r="H79" t="str">
        <x:v>Email Campaign</x:v>
      </x:c>
      <x:c r="I79" t="str">
        <x:v>Opportunity</x:v>
      </x:c>
      <x:c r="J79" t="str">
        <x:v>Alex Kim</x:v>
      </x:c>
      <x:c r="K79" s="6" t="n">
        <x:v>46242</x:v>
      </x:c>
      <x:c r="L79" s="6" t="n">
        <x:v>46246</x:v>
      </x:c>
      <x:c r="M79" s="6" t="n">
        <x:v>46266</x:v>
      </x:c>
      <x:c r="N79" s="8" t="n">
        <x:v>79600</x:v>
      </x:c>
      <x:c r="O79" t="str">
        <x:v>Healthcare</x:v>
      </x:c>
      <x:c r="P79" t="str">
        <x:v>Yes</x:v>
      </x:c>
      <x:c r="Q79" t="str">
        <x:v>No</x:v>
      </x:c>
      <x:c r="R79" s="6"/>
      <x:c r="S79" t="str">
        <x:f>IF(E79="","Unique",IF(COUNTIF($E$2:E79,E79)&gt;1,"Duplicate","Unique"))</x:f>
        <x:v>Unique</x:v>
      </x:c>
      <x:c r="T79" t="str">
        <x:f>IF(J79="Unassigned","Yes","No")</x:f>
        <x:v>No</x:v>
      </x:c>
      <x:c r="U79" t="str">
        <x:f>IF(AND(E79="",F79=""),"Yes","No")</x:f>
        <x:v>No</x:v>
      </x:c>
      <x:c r="V79" t="str">
        <x:f>IF(AND('Dashboard'!$B$2-L79&gt;30,I79&lt;&gt;"Closed Won",I79&lt;&gt;"Closed Lost"),"Yes","No")</x:f>
        <x:v>No</x:v>
      </x:c>
      <x:c r="W79" t="str">
        <x:f>IF(AND(M79&lt;&gt;"",M79&lt;'Dashboard'!$B$2,I79&lt;&gt;"Closed Won",I79&lt;&gt;"Closed Lost"),"Yes","No")</x:f>
        <x:v>No</x:v>
      </x:c>
      <x:c r="X79" t="str">
        <x:f>IF(OR(S79="Duplicate",T79="Yes",U79="Yes",D79="Unknown",W79="Yes"),"Yes","No")</x:f>
        <x:v>No</x:v>
      </x:c>
      <x:c r="Y79" t="n">
        <x:f>IF(S79="Duplicate",0,1)</x:f>
        <x:v>1</x:v>
      </x:c>
    </x:row>
    <x:row r="80">
      <x:c r="A80" t="str">
        <x:v>L-0079</x:v>
      </x:c>
      <x:c r="B80" t="str">
        <x:v>Ethan</x:v>
      </x:c>
      <x:c r="C80" t="str">
        <x:v>Jones</x:v>
      </x:c>
      <x:c r="D80" t="str">
        <x:v>Atlas Commerce</x:v>
      </x:c>
      <x:c r="E80" t="str">
        <x:v>ethan.jones968@northmail.com</x:v>
      </x:c>
      <x:c r="F80" t="str">
        <x:v>(983) 206-7756</x:v>
      </x:c>
      <x:c r="G80" t="str">
        <x:v>GA</x:v>
      </x:c>
      <x:c r="H80" t="str">
        <x:v>Outbound</x:v>
      </x:c>
      <x:c r="I80" t="str">
        <x:v>Closed Lost</x:v>
      </x:c>
      <x:c r="J80" t="str">
        <x:v>Jordan Lee</x:v>
      </x:c>
      <x:c r="K80" s="6" t="n">
        <x:v>46112</x:v>
      </x:c>
      <x:c r="L80" s="6" t="n">
        <x:v>46120</x:v>
      </x:c>
      <x:c r="M80" s="6"/>
      <x:c r="N80" s="8" t="n">
        <x:v>71700</x:v>
      </x:c>
      <x:c r="O80" t="str">
        <x:v>Manufacturing</x:v>
      </x:c>
      <x:c r="P80" t="str">
        <x:v>Yes</x:v>
      </x:c>
      <x:c r="Q80" t="str">
        <x:v>No</x:v>
      </x:c>
      <x:c r="R80" s="6" t="n">
        <x:v>46120</x:v>
      </x:c>
      <x:c r="S80" t="str">
        <x:f>IF(E80="","Unique",IF(COUNTIF($E$2:E80,E80)&gt;1,"Duplicate","Unique"))</x:f>
        <x:v>Unique</x:v>
      </x:c>
      <x:c r="T80" t="str">
        <x:f>IF(J80="Unassigned","Yes","No")</x:f>
        <x:v>No</x:v>
      </x:c>
      <x:c r="U80" t="str">
        <x:f>IF(AND(E80="",F80=""),"Yes","No")</x:f>
        <x:v>No</x:v>
      </x:c>
      <x:c r="V80" t="str">
        <x:f>IF(AND('Dashboard'!$B$2-L80&gt;30,I80&lt;&gt;"Closed Won",I80&lt;&gt;"Closed Lost"),"Yes","No")</x:f>
        <x:v>No</x:v>
      </x:c>
      <x:c r="W80" t="str">
        <x:f>IF(AND(M80&lt;&gt;"",M80&lt;'Dashboard'!$B$2,I80&lt;&gt;"Closed Won",I80&lt;&gt;"Closed Lost"),"Yes","No")</x:f>
        <x:v>No</x:v>
      </x:c>
      <x:c r="X80" t="str">
        <x:f>IF(OR(S80="Duplicate",T80="Yes",U80="Yes",D80="Unknown",W80="Yes"),"Yes","No")</x:f>
        <x:v>No</x:v>
      </x:c>
      <x:c r="Y80" t="n">
        <x:f>IF(S80="Duplicate",0,1)</x:f>
        <x:v>1</x:v>
      </x:c>
    </x:row>
    <x:row r="81">
      <x:c r="A81" t="str">
        <x:v>L-0080</x:v>
      </x:c>
      <x:c r="B81" t="str">
        <x:v>Evelyn</x:v>
      </x:c>
      <x:c r="C81" t="str">
        <x:v>Rodriguez</x:v>
      </x:c>
      <x:c r="D81" t="str">
        <x:v>Evergreen Services</x:v>
      </x:c>
      <x:c r="E81" t="str">
        <x:v>evelyn.rodriguez153@examplebiz.com</x:v>
      </x:c>
      <x:c r="F81" t="str">
        <x:v>(397) 834-9625</x:v>
      </x:c>
      <x:c r="G81" t="str">
        <x:v>GA</x:v>
      </x:c>
      <x:c r="H81" t="str">
        <x:v>Email Campaign</x:v>
      </x:c>
      <x:c r="I81" t="str">
        <x:v>Opportunity</x:v>
      </x:c>
      <x:c r="J81" t="str">
        <x:v>Alex Kim</x:v>
      </x:c>
      <x:c r="K81" s="6" t="n">
        <x:v>46040</x:v>
      </x:c>
      <x:c r="L81" s="6" t="n">
        <x:v>46085</x:v>
      </x:c>
      <x:c r="M81" s="6" t="n">
        <x:v>46091</x:v>
      </x:c>
      <x:c r="N81" s="8" t="n">
        <x:v>78200</x:v>
      </x:c>
      <x:c r="O81" t="str">
        <x:v>Healthcare</x:v>
      </x:c>
      <x:c r="P81" t="str">
        <x:v>Yes</x:v>
      </x:c>
      <x:c r="Q81" t="str">
        <x:v>No</x:v>
      </x:c>
      <x:c r="R81" s="6"/>
      <x:c r="S81" t="str">
        <x:f>IF(E81="","Unique",IF(COUNTIF($E$2:E81,E81)&gt;1,"Duplicate","Unique"))</x:f>
        <x:v>Unique</x:v>
      </x:c>
      <x:c r="T81" t="str">
        <x:f>IF(J81="Unassigned","Yes","No")</x:f>
        <x:v>No</x:v>
      </x:c>
      <x:c r="U81" t="str">
        <x:f>IF(AND(E81="",F81=""),"Yes","No")</x:f>
        <x:v>No</x:v>
      </x:c>
      <x:c r="V81" t="str">
        <x:f>IF(AND('Dashboard'!$B$2-L81&gt;30,I81&lt;&gt;"Closed Won",I81&lt;&gt;"Closed Lost"),"Yes","No")</x:f>
        <x:v>Yes</x:v>
      </x:c>
      <x:c r="W81" t="str">
        <x:f>IF(AND(M81&lt;&gt;"",M81&lt;'Dashboard'!$B$2,I81&lt;&gt;"Closed Won",I81&lt;&gt;"Closed Lost"),"Yes","No")</x:f>
        <x:v>Yes</x:v>
      </x:c>
      <x:c r="X81" t="str">
        <x:f>IF(OR(S81="Duplicate",T81="Yes",U81="Yes",D81="Unknown",W81="Yes"),"Yes","No")</x:f>
        <x:v>Yes</x:v>
      </x:c>
      <x:c r="Y81" t="n">
        <x:f>IF(S81="Duplicate",0,1)</x:f>
        <x:v>1</x:v>
      </x:c>
    </x:row>
    <x:row r="82">
      <x:c r="A82" t="str">
        <x:v>L-0081</x:v>
      </x:c>
      <x:c r="B82" t="str">
        <x:v>Amelia</x:v>
      </x:c>
      <x:c r="C82" t="str">
        <x:v>Lee</x:v>
      </x:c>
      <x:c r="D82" t="str">
        <x:v>Atlas Commerce</x:v>
      </x:c>
      <x:c r="E82" t="str">
        <x:v>amelia.lee879@northmail.com</x:v>
      </x:c>
      <x:c r="F82" t="str">
        <x:v>(741) 243-4764</x:v>
      </x:c>
      <x:c r="G82" t="str">
        <x:v>OH</x:v>
      </x:c>
      <x:c r="H82" t="str">
        <x:v>Website</x:v>
      </x:c>
      <x:c r="I82" t="str">
        <x:v>New</x:v>
      </x:c>
      <x:c r="J82" t="str">
        <x:v>Alex Kim</x:v>
      </x:c>
      <x:c r="K82" s="6" t="n">
        <x:v>46119</x:v>
      </x:c>
      <x:c r="L82" s="6" t="n">
        <x:v>46230</x:v>
      </x:c>
      <x:c r="M82" s="6" t="n">
        <x:v>46253</x:v>
      </x:c>
      <x:c r="N82" s="8" t="n">
        <x:v>67200</x:v>
      </x:c>
      <x:c r="O82" t="str">
        <x:v>Healthcare</x:v>
      </x:c>
      <x:c r="P82" t="str">
        <x:v>No</x:v>
      </x:c>
      <x:c r="Q82" t="str">
        <x:v>No</x:v>
      </x:c>
      <x:c r="R82" s="6"/>
      <x:c r="S82" t="str">
        <x:f>IF(E82="","Unique",IF(COUNTIF($E$2:E82,E82)&gt;1,"Duplicate","Unique"))</x:f>
        <x:v>Unique</x:v>
      </x:c>
      <x:c r="T82" t="str">
        <x:f>IF(J82="Unassigned","Yes","No")</x:f>
        <x:v>No</x:v>
      </x:c>
      <x:c r="U82" t="str">
        <x:f>IF(AND(E82="",F82=""),"Yes","No")</x:f>
        <x:v>No</x:v>
      </x:c>
      <x:c r="V82" t="str">
        <x:f>IF(AND('Dashboard'!$B$2-L82&gt;30,I82&lt;&gt;"Closed Won",I82&lt;&gt;"Closed Lost"),"Yes","No")</x:f>
        <x:v>No</x:v>
      </x:c>
      <x:c r="W82" t="str">
        <x:f>IF(AND(M82&lt;&gt;"",M82&lt;'Dashboard'!$B$2,I82&lt;&gt;"Closed Won",I82&lt;&gt;"Closed Lost"),"Yes","No")</x:f>
        <x:v>No</x:v>
      </x:c>
      <x:c r="X82" t="str">
        <x:f>IF(OR(S82="Duplicate",T82="Yes",U82="Yes",D82="Unknown",W82="Yes"),"Yes","No")</x:f>
        <x:v>No</x:v>
      </x:c>
      <x:c r="Y82" t="n">
        <x:f>IF(S82="Duplicate",0,1)</x:f>
        <x:v>1</x:v>
      </x:c>
    </x:row>
    <x:row r="83">
      <x:c r="A83" t="str">
        <x:v>L-0082</x:v>
      </x:c>
      <x:c r="B83" t="str">
        <x:v>Luna</x:v>
      </x:c>
      <x:c r="C83" t="str">
        <x:v>Jones</x:v>
      </x:c>
      <x:c r="D83" t="str">
        <x:v>Silverline Foods</x:v>
      </x:c>
      <x:c r="E83" t="str">
        <x:v>luna.jones340@mailhub.net</x:v>
      </x:c>
      <x:c r="F83" t="str">
        <x:v>(974) 957-3292</x:v>
      </x:c>
      <x:c r="G83" t="str">
        <x:v>NY</x:v>
      </x:c>
      <x:c r="H83" t="str">
        <x:v>Website</x:v>
      </x:c>
      <x:c r="I83" t="str">
        <x:v>Contacted</x:v>
      </x:c>
      <x:c r="J83" t="str">
        <x:v>Alex Kim</x:v>
      </x:c>
      <x:c r="K83" s="6" t="n">
        <x:v>46033</x:v>
      </x:c>
      <x:c r="L83" s="6" t="n">
        <x:v>46250</x:v>
      </x:c>
      <x:c r="M83" s="6" t="n">
        <x:v>46265</x:v>
      </x:c>
      <x:c r="N83" s="8" t="n">
        <x:v>58400</x:v>
      </x:c>
      <x:c r="O83" t="str">
        <x:v>Technology</x:v>
      </x:c>
      <x:c r="P83" t="str">
        <x:v>No</x:v>
      </x:c>
      <x:c r="Q83" t="str">
        <x:v>No</x:v>
      </x:c>
      <x:c r="R83" s="6"/>
      <x:c r="S83" t="str">
        <x:f>IF(E83="","Unique",IF(COUNTIF($E$2:E83,E83)&gt;1,"Duplicate","Unique"))</x:f>
        <x:v>Unique</x:v>
      </x:c>
      <x:c r="T83" t="str">
        <x:f>IF(J83="Unassigned","Yes","No")</x:f>
        <x:v>No</x:v>
      </x:c>
      <x:c r="U83" t="str">
        <x:f>IF(AND(E83="",F83=""),"Yes","No")</x:f>
        <x:v>No</x:v>
      </x:c>
      <x:c r="V83" t="str">
        <x:f>IF(AND('Dashboard'!$B$2-L83&gt;30,I83&lt;&gt;"Closed Won",I83&lt;&gt;"Closed Lost"),"Yes","No")</x:f>
        <x:v>No</x:v>
      </x:c>
      <x:c r="W83" t="str">
        <x:f>IF(AND(M83&lt;&gt;"",M83&lt;'Dashboard'!$B$2,I83&lt;&gt;"Closed Won",I83&lt;&gt;"Closed Lost"),"Yes","No")</x:f>
        <x:v>No</x:v>
      </x:c>
      <x:c r="X83" t="str">
        <x:f>IF(OR(S83="Duplicate",T83="Yes",U83="Yes",D83="Unknown",W83="Yes"),"Yes","No")</x:f>
        <x:v>No</x:v>
      </x:c>
      <x:c r="Y83" t="n">
        <x:f>IF(S83="Duplicate",0,1)</x:f>
        <x:v>1</x:v>
      </x:c>
    </x:row>
    <x:row r="84">
      <x:c r="A84" t="str">
        <x:v>L-0083</x:v>
      </x:c>
      <x:c r="B84" t="str">
        <x:v>Harper</x:v>
      </x:c>
      <x:c r="C84" t="str">
        <x:v>Jackson</x:v>
      </x:c>
      <x:c r="D84" t="str">
        <x:v>Clearview Media</x:v>
      </x:c>
      <x:c r="E84" t="str">
        <x:v>harper.jackson303@examplebiz.com</x:v>
      </x:c>
      <x:c r="F84" t="str">
        <x:v>(931) 275-2344</x:v>
      </x:c>
      <x:c r="G84" t="str">
        <x:v>GA</x:v>
      </x:c>
      <x:c r="H84" t="str">
        <x:v>Outbound</x:v>
      </x:c>
      <x:c r="I84" t="str">
        <x:v>Qualified</x:v>
      </x:c>
      <x:c r="J84" t="str">
        <x:v>Alex Kim</x:v>
      </x:c>
      <x:c r="K84" s="6" t="n">
        <x:v>46072</x:v>
      </x:c>
      <x:c r="L84" s="6" t="n">
        <x:v>46221</x:v>
      </x:c>
      <x:c r="M84" s="6" t="n">
        <x:v>46245</x:v>
      </x:c>
      <x:c r="N84" s="8" t="n">
        <x:v>33900</x:v>
      </x:c>
      <x:c r="O84" t="str">
        <x:v>Biotech</x:v>
      </x:c>
      <x:c r="P84" t="str">
        <x:v>Yes</x:v>
      </x:c>
      <x:c r="Q84" t="str">
        <x:v>No</x:v>
      </x:c>
      <x:c r="R84" s="6"/>
      <x:c r="S84" t="str">
        <x:f>IF(E84="","Unique",IF(COUNTIF($E$2:E84,E84)&gt;1,"Duplicate","Unique"))</x:f>
        <x:v>Unique</x:v>
      </x:c>
      <x:c r="T84" t="str">
        <x:f>IF(J84="Unassigned","Yes","No")</x:f>
        <x:v>No</x:v>
      </x:c>
      <x:c r="U84" t="str">
        <x:f>IF(AND(E84="",F84=""),"Yes","No")</x:f>
        <x:v>No</x:v>
      </x:c>
      <x:c r="V84" t="str">
        <x:f>IF(AND('Dashboard'!$B$2-L84&gt;30,I84&lt;&gt;"Closed Won",I84&lt;&gt;"Closed Lost"),"Yes","No")</x:f>
        <x:v>No</x:v>
      </x:c>
      <x:c r="W84" t="str">
        <x:f>IF(AND(M84&lt;&gt;"",M84&lt;'Dashboard'!$B$2,I84&lt;&gt;"Closed Won",I84&lt;&gt;"Closed Lost"),"Yes","No")</x:f>
        <x:v>Yes</x:v>
      </x:c>
      <x:c r="X84" t="str">
        <x:f>IF(OR(S84="Duplicate",T84="Yes",U84="Yes",D84="Unknown",W84="Yes"),"Yes","No")</x:f>
        <x:v>Yes</x:v>
      </x:c>
      <x:c r="Y84" t="n">
        <x:f>IF(S84="Duplicate",0,1)</x:f>
        <x:v>1</x:v>
      </x:c>
    </x:row>
    <x:row r="85">
      <x:c r="A85" t="str">
        <x:v>L-0084</x:v>
      </x:c>
      <x:c r="B85" t="str">
        <x:v>Elijah</x:v>
      </x:c>
      <x:c r="C85" t="str">
        <x:v>Lee</x:v>
      </x:c>
      <x:c r="D85" t="str">
        <x:v>Vertex Solutions</x:v>
      </x:c>
      <x:c r="E85" t="str">
        <x:v>elijah.lee299@mailhub.net</x:v>
      </x:c>
      <x:c r="F85" t="str">
        <x:v>(598) 997-2387</x:v>
      </x:c>
      <x:c r="G85" t="str">
        <x:v>CO</x:v>
      </x:c>
      <x:c r="H85" t="str">
        <x:v>Website</x:v>
      </x:c>
      <x:c r="I85" t="str">
        <x:v>Qualified</x:v>
      </x:c>
      <x:c r="J85" t="str">
        <x:v>Jordan Lee</x:v>
      </x:c>
      <x:c r="K85" s="6" t="n">
        <x:v>46094</x:v>
      </x:c>
      <x:c r="L85" s="6" t="n">
        <x:v>46247</x:v>
      </x:c>
      <x:c r="M85" s="6" t="n">
        <x:v>46260</x:v>
      </x:c>
      <x:c r="N85" s="8" t="n">
        <x:v>73800</x:v>
      </x:c>
      <x:c r="O85" t="str">
        <x:v>Technology</x:v>
      </x:c>
      <x:c r="P85" t="str">
        <x:v>Yes</x:v>
      </x:c>
      <x:c r="Q85" t="str">
        <x:v>No</x:v>
      </x:c>
      <x:c r="R85" s="6"/>
      <x:c r="S85" t="str">
        <x:f>IF(E85="","Unique",IF(COUNTIF($E$2:E85,E85)&gt;1,"Duplicate","Unique"))</x:f>
        <x:v>Unique</x:v>
      </x:c>
      <x:c r="T85" t="str">
        <x:f>IF(J85="Unassigned","Yes","No")</x:f>
        <x:v>No</x:v>
      </x:c>
      <x:c r="U85" t="str">
        <x:f>IF(AND(E85="",F85=""),"Yes","No")</x:f>
        <x:v>No</x:v>
      </x:c>
      <x:c r="V85" t="str">
        <x:f>IF(AND('Dashboard'!$B$2-L85&gt;30,I85&lt;&gt;"Closed Won",I85&lt;&gt;"Closed Lost"),"Yes","No")</x:f>
        <x:v>No</x:v>
      </x:c>
      <x:c r="W85" t="str">
        <x:f>IF(AND(M85&lt;&gt;"",M85&lt;'Dashboard'!$B$2,I85&lt;&gt;"Closed Won",I85&lt;&gt;"Closed Lost"),"Yes","No")</x:f>
        <x:v>No</x:v>
      </x:c>
      <x:c r="X85" t="str">
        <x:f>IF(OR(S85="Duplicate",T85="Yes",U85="Yes",D85="Unknown",W85="Yes"),"Yes","No")</x:f>
        <x:v>No</x:v>
      </x:c>
      <x:c r="Y85" t="n">
        <x:f>IF(S85="Duplicate",0,1)</x:f>
        <x:v>1</x:v>
      </x:c>
    </x:row>
    <x:row r="86">
      <x:c r="A86" t="str">
        <x:v>L-0085</x:v>
      </x:c>
      <x:c r="B86" t="str">
        <x:v>Mia</x:v>
      </x:c>
      <x:c r="C86" t="str">
        <x:v>Anderson</x:v>
      </x:c>
      <x:c r="D86" t="str">
        <x:v>Horizon Bio</x:v>
      </x:c>
      <x:c r="E86" t="str">
        <x:v>mia.anderson972@mailhub.net</x:v>
      </x:c>
      <x:c r="F86" t="str">
        <x:v>(541) 835-7224</x:v>
      </x:c>
      <x:c r="G86" t="str">
        <x:v>PA</x:v>
      </x:c>
      <x:c r="H86" t="str">
        <x:v>Trade Show</x:v>
      </x:c>
      <x:c r="I86" t="str">
        <x:v>Qualified</x:v>
      </x:c>
      <x:c r="J86" t="str">
        <x:v>Jordan Lee</x:v>
      </x:c>
      <x:c r="K86" s="6" t="n">
        <x:v>46196</x:v>
      </x:c>
      <x:c r="L86" s="6" t="n">
        <x:v>46225</x:v>
      </x:c>
      <x:c r="M86" s="6" t="n">
        <x:v>46231</x:v>
      </x:c>
      <x:c r="N86" s="8" t="n">
        <x:v>13700</x:v>
      </x:c>
      <x:c r="O86" t="str">
        <x:v>Retail</x:v>
      </x:c>
      <x:c r="P86" t="str">
        <x:v>Yes</x:v>
      </x:c>
      <x:c r="Q86" t="str">
        <x:v>No</x:v>
      </x:c>
      <x:c r="R86" s="6"/>
      <x:c r="S86" t="str">
        <x:f>IF(E86="","Unique",IF(COUNTIF($E$2:E86,E86)&gt;1,"Duplicate","Unique"))</x:f>
        <x:v>Unique</x:v>
      </x:c>
      <x:c r="T86" t="str">
        <x:f>IF(J86="Unassigned","Yes","No")</x:f>
        <x:v>No</x:v>
      </x:c>
      <x:c r="U86" t="str">
        <x:f>IF(AND(E86="",F86=""),"Yes","No")</x:f>
        <x:v>No</x:v>
      </x:c>
      <x:c r="V86" t="str">
        <x:f>IF(AND('Dashboard'!$B$2-L86&gt;30,I86&lt;&gt;"Closed Won",I86&lt;&gt;"Closed Lost"),"Yes","No")</x:f>
        <x:v>No</x:v>
      </x:c>
      <x:c r="W86" t="str">
        <x:f>IF(AND(M86&lt;&gt;"",M86&lt;'Dashboard'!$B$2,I86&lt;&gt;"Closed Won",I86&lt;&gt;"Closed Lost"),"Yes","No")</x:f>
        <x:v>Yes</x:v>
      </x:c>
      <x:c r="X86" t="str">
        <x:f>IF(OR(S86="Duplicate",T86="Yes",U86="Yes",D86="Unknown",W86="Yes"),"Yes","No")</x:f>
        <x:v>Yes</x:v>
      </x:c>
      <x:c r="Y86" t="n">
        <x:f>IF(S86="Duplicate",0,1)</x:f>
        <x:v>1</x:v>
      </x:c>
    </x:row>
    <x:row r="87">
      <x:c r="A87" t="str">
        <x:v>L-0086</x:v>
      </x:c>
      <x:c r="B87" t="str">
        <x:v>Benjamin</x:v>
      </x:c>
      <x:c r="C87" t="str">
        <x:v>Perez</x:v>
      </x:c>
      <x:c r="D87" t="str">
        <x:v>Clearview Media</x:v>
      </x:c>
      <x:c r="E87" t="str">
        <x:v>benjamin.perez607@examplebiz.com</x:v>
      </x:c>
      <x:c r="F87" t="str">
        <x:v>(899) 986-1440</x:v>
      </x:c>
      <x:c r="G87" t="str">
        <x:v>AZ</x:v>
      </x:c>
      <x:c r="H87" t="str">
        <x:v>Referral</x:v>
      </x:c>
      <x:c r="I87" t="str">
        <x:v>Closed Won</x:v>
      </x:c>
      <x:c r="J87" t="str">
        <x:v>Taylor Morgan</x:v>
      </x:c>
      <x:c r="K87" s="6" t="n">
        <x:v>46153</x:v>
      </x:c>
      <x:c r="L87" s="6" t="n">
        <x:v>46167</x:v>
      </x:c>
      <x:c r="M87" s="6"/>
      <x:c r="N87" s="8" t="n">
        <x:v>79400</x:v>
      </x:c>
      <x:c r="O87" t="str">
        <x:v>Biotech</x:v>
      </x:c>
      <x:c r="P87" t="str">
        <x:v>Yes</x:v>
      </x:c>
      <x:c r="Q87" t="str">
        <x:v>Yes</x:v>
      </x:c>
      <x:c r="R87" s="6" t="n">
        <x:v>46173</x:v>
      </x:c>
      <x:c r="S87" t="str">
        <x:f>IF(E87="","Unique",IF(COUNTIF($E$2:E87,E87)&gt;1,"Duplicate","Unique"))</x:f>
        <x:v>Unique</x:v>
      </x:c>
      <x:c r="T87" t="str">
        <x:f>IF(J87="Unassigned","Yes","No")</x:f>
        <x:v>No</x:v>
      </x:c>
      <x:c r="U87" t="str">
        <x:f>IF(AND(E87="",F87=""),"Yes","No")</x:f>
        <x:v>No</x:v>
      </x:c>
      <x:c r="V87" t="str">
        <x:f>IF(AND('Dashboard'!$B$2-L87&gt;30,I87&lt;&gt;"Closed Won",I87&lt;&gt;"Closed Lost"),"Yes","No")</x:f>
        <x:v>No</x:v>
      </x:c>
      <x:c r="W87" t="str">
        <x:f>IF(AND(M87&lt;&gt;"",M87&lt;'Dashboard'!$B$2,I87&lt;&gt;"Closed Won",I87&lt;&gt;"Closed Lost"),"Yes","No")</x:f>
        <x:v>No</x:v>
      </x:c>
      <x:c r="X87" t="str">
        <x:f>IF(OR(S87="Duplicate",T87="Yes",U87="Yes",D87="Unknown",W87="Yes"),"Yes","No")</x:f>
        <x:v>No</x:v>
      </x:c>
      <x:c r="Y87" t="n">
        <x:f>IF(S87="Duplicate",0,1)</x:f>
        <x:v>1</x:v>
      </x:c>
    </x:row>
    <x:row r="88">
      <x:c r="A88" t="str">
        <x:v>L-0087</x:v>
      </x:c>
      <x:c r="B88" t="str">
        <x:v>Henry</x:v>
      </x:c>
      <x:c r="C88" t="str">
        <x:v>Jackson</x:v>
      </x:c>
      <x:c r="D88" t="str">
        <x:v>Silverline Foods</x:v>
      </x:c>
      <x:c r="E88" t="str">
        <x:v>henry.jackson112@examplebiz.com</x:v>
      </x:c>
      <x:c r="F88" t="str">
        <x:v>(874) 880-6816</x:v>
      </x:c>
      <x:c r="G88" t="str">
        <x:v>GA</x:v>
      </x:c>
      <x:c r="H88" t="str">
        <x:v>Website</x:v>
      </x:c>
      <x:c r="I88" t="str">
        <x:v>Closed Lost</x:v>
      </x:c>
      <x:c r="J88" t="str">
        <x:v>Jordan Lee</x:v>
      </x:c>
      <x:c r="K88" s="6" t="n">
        <x:v>46067</x:v>
      </x:c>
      <x:c r="L88" s="6" t="n">
        <x:v>46204</x:v>
      </x:c>
      <x:c r="M88" s="6"/>
      <x:c r="N88" s="8" t="n">
        <x:v>51500</x:v>
      </x:c>
      <x:c r="O88" t="str">
        <x:v>Professional Services</x:v>
      </x:c>
      <x:c r="P88" t="str">
        <x:v>Yes</x:v>
      </x:c>
      <x:c r="Q88" t="str">
        <x:v>No</x:v>
      </x:c>
      <x:c r="R88" s="6" t="n">
        <x:v>46209</x:v>
      </x:c>
      <x:c r="S88" t="str">
        <x:f>IF(E88="","Unique",IF(COUNTIF($E$2:E88,E88)&gt;1,"Duplicate","Unique"))</x:f>
        <x:v>Unique</x:v>
      </x:c>
      <x:c r="T88" t="str">
        <x:f>IF(J88="Unassigned","Yes","No")</x:f>
        <x:v>No</x:v>
      </x:c>
      <x:c r="U88" t="str">
        <x:f>IF(AND(E88="",F88=""),"Yes","No")</x:f>
        <x:v>No</x:v>
      </x:c>
      <x:c r="V88" t="str">
        <x:f>IF(AND('Dashboard'!$B$2-L88&gt;30,I88&lt;&gt;"Closed Won",I88&lt;&gt;"Closed Lost"),"Yes","No")</x:f>
        <x:v>No</x:v>
      </x:c>
      <x:c r="W88" t="str">
        <x:f>IF(AND(M88&lt;&gt;"",M88&lt;'Dashboard'!$B$2,I88&lt;&gt;"Closed Won",I88&lt;&gt;"Closed Lost"),"Yes","No")</x:f>
        <x:v>No</x:v>
      </x:c>
      <x:c r="X88" t="str">
        <x:f>IF(OR(S88="Duplicate",T88="Yes",U88="Yes",D88="Unknown",W88="Yes"),"Yes","No")</x:f>
        <x:v>No</x:v>
      </x:c>
      <x:c r="Y88" t="n">
        <x:f>IF(S88="Duplicate",0,1)</x:f>
        <x:v>1</x:v>
      </x:c>
    </x:row>
    <x:row r="89">
      <x:c r="A89" t="str">
        <x:v>L-0088</x:v>
      </x:c>
      <x:c r="B89" t="str">
        <x:v>Harper</x:v>
      </x:c>
      <x:c r="C89" t="str">
        <x:v>Perez</x:v>
      </x:c>
      <x:c r="D89" t="str">
        <x:v>Blue Ridge Supply</x:v>
      </x:c>
      <x:c r="E89" t="str">
        <x:v>harper.perez467@examplebiz.com</x:v>
      </x:c>
      <x:c r="F89" t="str">
        <x:v>(734) 694-6706</x:v>
      </x:c>
      <x:c r="G89" t="str">
        <x:v>CO</x:v>
      </x:c>
      <x:c r="H89" t="str">
        <x:v>Webinar</x:v>
      </x:c>
      <x:c r="I89" t="str">
        <x:v>Contacted</x:v>
      </x:c>
      <x:c r="J89" t="str">
        <x:v>Casey Patel</x:v>
      </x:c>
      <x:c r="K89" s="6" t="n">
        <x:v>46225</x:v>
      </x:c>
      <x:c r="L89" s="6" t="n">
        <x:v>46228</x:v>
      </x:c>
      <x:c r="M89" s="6" t="n">
        <x:v>46235</x:v>
      </x:c>
      <x:c r="N89" s="8" t="n">
        <x:v>31200</x:v>
      </x:c>
      <x:c r="O89" t="str">
        <x:v>Biotech</x:v>
      </x:c>
      <x:c r="P89" t="str">
        <x:v>No</x:v>
      </x:c>
      <x:c r="Q89" t="str">
        <x:v>No</x:v>
      </x:c>
      <x:c r="R89" s="6"/>
      <x:c r="S89" t="str">
        <x:f>IF(E89="","Unique",IF(COUNTIF($E$2:E89,E89)&gt;1,"Duplicate","Unique"))</x:f>
        <x:v>Unique</x:v>
      </x:c>
      <x:c r="T89" t="str">
        <x:f>IF(J89="Unassigned","Yes","No")</x:f>
        <x:v>No</x:v>
      </x:c>
      <x:c r="U89" t="str">
        <x:f>IF(AND(E89="",F89=""),"Yes","No")</x:f>
        <x:v>No</x:v>
      </x:c>
      <x:c r="V89" t="str">
        <x:f>IF(AND('Dashboard'!$B$2-L89&gt;30,I89&lt;&gt;"Closed Won",I89&lt;&gt;"Closed Lost"),"Yes","No")</x:f>
        <x:v>No</x:v>
      </x:c>
      <x:c r="W89" t="str">
        <x:f>IF(AND(M89&lt;&gt;"",M89&lt;'Dashboard'!$B$2,I89&lt;&gt;"Closed Won",I89&lt;&gt;"Closed Lost"),"Yes","No")</x:f>
        <x:v>Yes</x:v>
      </x:c>
      <x:c r="X89" t="str">
        <x:f>IF(OR(S89="Duplicate",T89="Yes",U89="Yes",D89="Unknown",W89="Yes"),"Yes","No")</x:f>
        <x:v>Yes</x:v>
      </x:c>
      <x:c r="Y89" t="n">
        <x:f>IF(S89="Duplicate",0,1)</x:f>
        <x:v>1</x:v>
      </x:c>
    </x:row>
    <x:row r="90">
      <x:c r="A90" t="str">
        <x:v>L-0089</x:v>
      </x:c>
      <x:c r="B90" t="str">
        <x:v>Elijah</x:v>
      </x:c>
      <x:c r="C90" t="str">
        <x:v>Garcia</x:v>
      </x:c>
      <x:c r="D90" t="str">
        <x:v>Redstone Consulting</x:v>
      </x:c>
      <x:c r="E90" t="str">
        <x:v>elijah.garcia30@examplebiz.com</x:v>
      </x:c>
      <x:c r="F90" t="str">
        <x:v>(661) 806-8037</x:v>
      </x:c>
      <x:c r="G90" t="str">
        <x:v>NC</x:v>
      </x:c>
      <x:c r="H90" t="str">
        <x:v>Website</x:v>
      </x:c>
      <x:c r="I90" t="str">
        <x:v>Contacted</x:v>
      </x:c>
      <x:c r="J90" t="str">
        <x:v>Morgan Reed</x:v>
      </x:c>
      <x:c r="K90" s="6" t="n">
        <x:v>46199</x:v>
      </x:c>
      <x:c r="L90" s="6" t="n">
        <x:v>46210</x:v>
      </x:c>
      <x:c r="M90" s="6" t="n">
        <x:v>46233</x:v>
      </x:c>
      <x:c r="N90" s="8" t="n">
        <x:v>56700</x:v>
      </x:c>
      <x:c r="O90" t="str">
        <x:v>Professional Services</x:v>
      </x:c>
      <x:c r="P90" t="str">
        <x:v>No</x:v>
      </x:c>
      <x:c r="Q90" t="str">
        <x:v>No</x:v>
      </x:c>
      <x:c r="R90" s="6"/>
      <x:c r="S90" t="str">
        <x:f>IF(E90="","Unique",IF(COUNTIF($E$2:E90,E90)&gt;1,"Duplicate","Unique"))</x:f>
        <x:v>Unique</x:v>
      </x:c>
      <x:c r="T90" t="str">
        <x:f>IF(J90="Unassigned","Yes","No")</x:f>
        <x:v>No</x:v>
      </x:c>
      <x:c r="U90" t="str">
        <x:f>IF(AND(E90="",F90=""),"Yes","No")</x:f>
        <x:v>No</x:v>
      </x:c>
      <x:c r="V90" t="str">
        <x:f>IF(AND('Dashboard'!$B$2-L90&gt;30,I90&lt;&gt;"Closed Won",I90&lt;&gt;"Closed Lost"),"Yes","No")</x:f>
        <x:v>Yes</x:v>
      </x:c>
      <x:c r="W90" t="str">
        <x:f>IF(AND(M90&lt;&gt;"",M90&lt;'Dashboard'!$B$2,I90&lt;&gt;"Closed Won",I90&lt;&gt;"Closed Lost"),"Yes","No")</x:f>
        <x:v>Yes</x:v>
      </x:c>
      <x:c r="X90" t="str">
        <x:f>IF(OR(S90="Duplicate",T90="Yes",U90="Yes",D90="Unknown",W90="Yes"),"Yes","No")</x:f>
        <x:v>Yes</x:v>
      </x:c>
      <x:c r="Y90" t="n">
        <x:f>IF(S90="Duplicate",0,1)</x:f>
        <x:v>1</x:v>
      </x:c>
    </x:row>
    <x:row r="91">
      <x:c r="A91" t="str">
        <x:v>L-0090</x:v>
      </x:c>
      <x:c r="B91" t="str">
        <x:v>Isabella</x:v>
      </x:c>
      <x:c r="C91" t="str">
        <x:v>Thompson</x:v>
      </x:c>
      <x:c r="D91" t="str">
        <x:v>Silverline Foods</x:v>
      </x:c>
      <x:c r="E91" t="str">
        <x:v>isabella.thompson820@prospect.co</x:v>
      </x:c>
      <x:c r="F91" t="str">
        <x:v>(830) 804-2388</x:v>
      </x:c>
      <x:c r="G91" t="str">
        <x:v>WA</x:v>
      </x:c>
      <x:c r="H91" t="str">
        <x:v>Website</x:v>
      </x:c>
      <x:c r="I91" t="str">
        <x:v>Contacted</x:v>
      </x:c>
      <x:c r="J91" t="str">
        <x:v>Jamie Brooks</x:v>
      </x:c>
      <x:c r="K91" s="6" t="n">
        <x:v>46129</x:v>
      </x:c>
      <x:c r="L91" s="6" t="n">
        <x:v>46208</x:v>
      </x:c>
      <x:c r="M91" s="6" t="n">
        <x:v>46216</x:v>
      </x:c>
      <x:c r="N91" s="8" t="n">
        <x:v>69600</x:v>
      </x:c>
      <x:c r="O91" t="str">
        <x:v>Professional Services</x:v>
      </x:c>
      <x:c r="P91" t="str">
        <x:v>No</x:v>
      </x:c>
      <x:c r="Q91" t="str">
        <x:v>No</x:v>
      </x:c>
      <x:c r="R91" s="6"/>
      <x:c r="S91" t="str">
        <x:f>IF(E91="","Unique",IF(COUNTIF($E$2:E91,E91)&gt;1,"Duplicate","Unique"))</x:f>
        <x:v>Unique</x:v>
      </x:c>
      <x:c r="T91" t="str">
        <x:f>IF(J91="Unassigned","Yes","No")</x:f>
        <x:v>No</x:v>
      </x:c>
      <x:c r="U91" t="str">
        <x:f>IF(AND(E91="",F91=""),"Yes","No")</x:f>
        <x:v>No</x:v>
      </x:c>
      <x:c r="V91" t="str">
        <x:f>IF(AND('Dashboard'!$B$2-L91&gt;30,I91&lt;&gt;"Closed Won",I91&lt;&gt;"Closed Lost"),"Yes","No")</x:f>
        <x:v>Yes</x:v>
      </x:c>
      <x:c r="W91" t="str">
        <x:f>IF(AND(M91&lt;&gt;"",M91&lt;'Dashboard'!$B$2,I91&lt;&gt;"Closed Won",I91&lt;&gt;"Closed Lost"),"Yes","No")</x:f>
        <x:v>Yes</x:v>
      </x:c>
      <x:c r="X91" t="str">
        <x:f>IF(OR(S91="Duplicate",T91="Yes",U91="Yes",D91="Unknown",W91="Yes"),"Yes","No")</x:f>
        <x:v>Yes</x:v>
      </x:c>
      <x:c r="Y91" t="n">
        <x:f>IF(S91="Duplicate",0,1)</x:f>
        <x:v>1</x:v>
      </x:c>
    </x:row>
    <x:row r="92">
      <x:c r="A92" t="str">
        <x:v>L-0091</x:v>
      </x:c>
      <x:c r="B92" t="str">
        <x:v>Emma</x:v>
      </x:c>
      <x:c r="C92" t="str">
        <x:v>Garcia</x:v>
      </x:c>
      <x:c r="D92" t="str">
        <x:v>Redstone Consulting</x:v>
      </x:c>
      <x:c r="E92" t="str">
        <x:v>emma.garcia987@mailhub.net</x:v>
      </x:c>
      <x:c r="F92" t="str">
        <x:v>(619) 901-9056</x:v>
      </x:c>
      <x:c r="G92" t="str">
        <x:v>WA</x:v>
      </x:c>
      <x:c r="H92" t="str">
        <x:v>Website</x:v>
      </x:c>
      <x:c r="I92" t="str">
        <x:v>Contacted</x:v>
      </x:c>
      <x:c r="J92" t="str">
        <x:v>Morgan Reed</x:v>
      </x:c>
      <x:c r="K92" s="6" t="n">
        <x:v>46244</x:v>
      </x:c>
      <x:c r="L92" s="6" t="n">
        <x:v>46251</x:v>
      </x:c>
      <x:c r="M92" s="6" t="n">
        <x:v>46258</x:v>
      </x:c>
      <x:c r="N92" s="8" t="n">
        <x:v>18600</x:v>
      </x:c>
      <x:c r="O92" t="str">
        <x:v>Logistics</x:v>
      </x:c>
      <x:c r="P92" t="str">
        <x:v>No</x:v>
      </x:c>
      <x:c r="Q92" t="str">
        <x:v>No</x:v>
      </x:c>
      <x:c r="R92" s="6"/>
      <x:c r="S92" t="str">
        <x:f>IF(E92="","Unique",IF(COUNTIF($E$2:E92,E92)&gt;1,"Duplicate","Unique"))</x:f>
        <x:v>Unique</x:v>
      </x:c>
      <x:c r="T92" t="str">
        <x:f>IF(J92="Unassigned","Yes","No")</x:f>
        <x:v>No</x:v>
      </x:c>
      <x:c r="U92" t="str">
        <x:f>IF(AND(E92="",F92=""),"Yes","No")</x:f>
        <x:v>No</x:v>
      </x:c>
      <x:c r="V92" t="str">
        <x:f>IF(AND('Dashboard'!$B$2-L92&gt;30,I92&lt;&gt;"Closed Won",I92&lt;&gt;"Closed Lost"),"Yes","No")</x:f>
        <x:v>No</x:v>
      </x:c>
      <x:c r="W92" t="str">
        <x:f>IF(AND(M92&lt;&gt;"",M92&lt;'Dashboard'!$B$2,I92&lt;&gt;"Closed Won",I92&lt;&gt;"Closed Lost"),"Yes","No")</x:f>
        <x:v>No</x:v>
      </x:c>
      <x:c r="X92" t="str">
        <x:f>IF(OR(S92="Duplicate",T92="Yes",U92="Yes",D92="Unknown",W92="Yes"),"Yes","No")</x:f>
        <x:v>No</x:v>
      </x:c>
      <x:c r="Y92" t="n">
        <x:f>IF(S92="Duplicate",0,1)</x:f>
        <x:v>1</x:v>
      </x:c>
    </x:row>
    <x:row r="93">
      <x:c r="A93" t="str">
        <x:v>L-0092</x:v>
      </x:c>
      <x:c r="B93" t="str">
        <x:v>Sophia</x:v>
      </x:c>
      <x:c r="C93" t="str">
        <x:v>Lee</x:v>
      </x:c>
      <x:c r="D93" t="str">
        <x:v>Pioneer Tech</x:v>
      </x:c>
      <x:c r="E93" t="str">
        <x:v>sophia.lee896@northmail.com</x:v>
      </x:c>
      <x:c r="F93" t="str">
        <x:v>(661) 469-6711</x:v>
      </x:c>
      <x:c r="G93" t="str">
        <x:v>PA</x:v>
      </x:c>
      <x:c r="H93" t="str">
        <x:v>Webinar</x:v>
      </x:c>
      <x:c r="I93" t="str">
        <x:v>Contacted</x:v>
      </x:c>
      <x:c r="J93" t="str">
        <x:v>Casey Patel</x:v>
      </x:c>
      <x:c r="K93" s="6" t="n">
        <x:v>46138</x:v>
      </x:c>
      <x:c r="L93" s="6" t="n">
        <x:v>46151</x:v>
      </x:c>
      <x:c r="M93" s="6" t="n">
        <x:v>46174</x:v>
      </x:c>
      <x:c r="N93" s="8" t="n">
        <x:v>64500</x:v>
      </x:c>
      <x:c r="O93" t="str">
        <x:v>Healthcare</x:v>
      </x:c>
      <x:c r="P93" t="str">
        <x:v>No</x:v>
      </x:c>
      <x:c r="Q93" t="str">
        <x:v>No</x:v>
      </x:c>
      <x:c r="R93" s="6"/>
      <x:c r="S93" t="str">
        <x:f>IF(E93="","Unique",IF(COUNTIF($E$2:E93,E93)&gt;1,"Duplicate","Unique"))</x:f>
        <x:v>Unique</x:v>
      </x:c>
      <x:c r="T93" t="str">
        <x:f>IF(J93="Unassigned","Yes","No")</x:f>
        <x:v>No</x:v>
      </x:c>
      <x:c r="U93" t="str">
        <x:f>IF(AND(E93="",F93=""),"Yes","No")</x:f>
        <x:v>No</x:v>
      </x:c>
      <x:c r="V93" t="str">
        <x:f>IF(AND('Dashboard'!$B$2-L93&gt;30,I93&lt;&gt;"Closed Won",I93&lt;&gt;"Closed Lost"),"Yes","No")</x:f>
        <x:v>Yes</x:v>
      </x:c>
      <x:c r="W93" t="str">
        <x:f>IF(AND(M93&lt;&gt;"",M93&lt;'Dashboard'!$B$2,I93&lt;&gt;"Closed Won",I93&lt;&gt;"Closed Lost"),"Yes","No")</x:f>
        <x:v>Yes</x:v>
      </x:c>
      <x:c r="X93" t="str">
        <x:f>IF(OR(S93="Duplicate",T93="Yes",U93="Yes",D93="Unknown",W93="Yes"),"Yes","No")</x:f>
        <x:v>Yes</x:v>
      </x:c>
      <x:c r="Y93" t="n">
        <x:f>IF(S93="Duplicate",0,1)</x:f>
        <x:v>1</x:v>
      </x:c>
    </x:row>
    <x:row r="94">
      <x:c r="A94" t="str">
        <x:v>L-0093</x:v>
      </x:c>
      <x:c r="B94" t="str">
        <x:v>Olivia</x:v>
      </x:c>
      <x:c r="C94" t="str">
        <x:v>Johnson</x:v>
      </x:c>
      <x:c r="D94" t="str">
        <x:v>Pioneer Tech</x:v>
      </x:c>
      <x:c r="E94" t="str">
        <x:v>olivia.johnson922@northmail.com</x:v>
      </x:c>
      <x:c r="F94" t="str">
        <x:v>(339) 968-7743</x:v>
      </x:c>
      <x:c r="G94" t="str">
        <x:v>WA</x:v>
      </x:c>
      <x:c r="H94" t="str">
        <x:v>Webinar</x:v>
      </x:c>
      <x:c r="I94" t="str">
        <x:v>Contacted</x:v>
      </x:c>
      <x:c r="J94" t="str">
        <x:v>Alex Kim</x:v>
      </x:c>
      <x:c r="K94" s="6" t="n">
        <x:v>46066</x:v>
      </x:c>
      <x:c r="L94" s="6" t="n">
        <x:v>46140</x:v>
      </x:c>
      <x:c r="M94" s="6" t="n">
        <x:v>46152</x:v>
      </x:c>
      <x:c r="N94" s="8" t="n">
        <x:v>49800</x:v>
      </x:c>
      <x:c r="O94" t="str">
        <x:v>Financial Services</x:v>
      </x:c>
      <x:c r="P94" t="str">
        <x:v>No</x:v>
      </x:c>
      <x:c r="Q94" t="str">
        <x:v>No</x:v>
      </x:c>
      <x:c r="R94" s="6"/>
      <x:c r="S94" t="str">
        <x:f>IF(E94="","Unique",IF(COUNTIF($E$2:E94,E94)&gt;1,"Duplicate","Unique"))</x:f>
        <x:v>Unique</x:v>
      </x:c>
      <x:c r="T94" t="str">
        <x:f>IF(J94="Unassigned","Yes","No")</x:f>
        <x:v>No</x:v>
      </x:c>
      <x:c r="U94" t="str">
        <x:f>IF(AND(E94="",F94=""),"Yes","No")</x:f>
        <x:v>No</x:v>
      </x:c>
      <x:c r="V94" t="str">
        <x:f>IF(AND('Dashboard'!$B$2-L94&gt;30,I94&lt;&gt;"Closed Won",I94&lt;&gt;"Closed Lost"),"Yes","No")</x:f>
        <x:v>Yes</x:v>
      </x:c>
      <x:c r="W94" t="str">
        <x:f>IF(AND(M94&lt;&gt;"",M94&lt;'Dashboard'!$B$2,I94&lt;&gt;"Closed Won",I94&lt;&gt;"Closed Lost"),"Yes","No")</x:f>
        <x:v>Yes</x:v>
      </x:c>
      <x:c r="X94" t="str">
        <x:f>IF(OR(S94="Duplicate",T94="Yes",U94="Yes",D94="Unknown",W94="Yes"),"Yes","No")</x:f>
        <x:v>Yes</x:v>
      </x:c>
      <x:c r="Y94" t="n">
        <x:f>IF(S94="Duplicate",0,1)</x:f>
        <x:v>1</x:v>
      </x:c>
    </x:row>
    <x:row r="95">
      <x:c r="A95" t="str">
        <x:v>L-0094</x:v>
      </x:c>
      <x:c r="B95" t="str">
        <x:v>Amelia</x:v>
      </x:c>
      <x:c r="C95" t="str">
        <x:v>Moore</x:v>
      </x:c>
      <x:c r="D95" t="str">
        <x:v>Brightpath Health</x:v>
      </x:c>
      <x:c r="E95" t="str">
        <x:v>amelia.moore890@northmail.com</x:v>
      </x:c>
      <x:c r="F95" t="str">
        <x:v>(949) 669-6869</x:v>
      </x:c>
      <x:c r="G95" t="str">
        <x:v>AZ</x:v>
      </x:c>
      <x:c r="H95" t="str">
        <x:v>Webinar</x:v>
      </x:c>
      <x:c r="I95" t="str">
        <x:v>Contacted</x:v>
      </x:c>
      <x:c r="J95" t="str">
        <x:v>Jordan Lee</x:v>
      </x:c>
      <x:c r="K95" s="6" t="n">
        <x:v>46152</x:v>
      </x:c>
      <x:c r="L95" s="6" t="n">
        <x:v>46210</x:v>
      </x:c>
      <x:c r="M95" s="6" t="n">
        <x:v>46228</x:v>
      </x:c>
      <x:c r="N95" s="8" t="n">
        <x:v>29500</x:v>
      </x:c>
      <x:c r="O95" t="str">
        <x:v>Technology</x:v>
      </x:c>
      <x:c r="P95" t="str">
        <x:v>No</x:v>
      </x:c>
      <x:c r="Q95" t="str">
        <x:v>No</x:v>
      </x:c>
      <x:c r="R95" s="6"/>
      <x:c r="S95" t="str">
        <x:f>IF(E95="","Unique",IF(COUNTIF($E$2:E95,E95)&gt;1,"Duplicate","Unique"))</x:f>
        <x:v>Unique</x:v>
      </x:c>
      <x:c r="T95" t="str">
        <x:f>IF(J95="Unassigned","Yes","No")</x:f>
        <x:v>No</x:v>
      </x:c>
      <x:c r="U95" t="str">
        <x:f>IF(AND(E95="",F95=""),"Yes","No")</x:f>
        <x:v>No</x:v>
      </x:c>
      <x:c r="V95" t="str">
        <x:f>IF(AND('Dashboard'!$B$2-L95&gt;30,I95&lt;&gt;"Closed Won",I95&lt;&gt;"Closed Lost"),"Yes","No")</x:f>
        <x:v>Yes</x:v>
      </x:c>
      <x:c r="W95" t="str">
        <x:f>IF(AND(M95&lt;&gt;"",M95&lt;'Dashboard'!$B$2,I95&lt;&gt;"Closed Won",I95&lt;&gt;"Closed Lost"),"Yes","No")</x:f>
        <x:v>Yes</x:v>
      </x:c>
      <x:c r="X95" t="str">
        <x:f>IF(OR(S95="Duplicate",T95="Yes",U95="Yes",D95="Unknown",W95="Yes"),"Yes","No")</x:f>
        <x:v>Yes</x:v>
      </x:c>
      <x:c r="Y95" t="n">
        <x:f>IF(S95="Duplicate",0,1)</x:f>
        <x:v>1</x:v>
      </x:c>
    </x:row>
    <x:row r="96">
      <x:c r="A96" t="str">
        <x:v>L-0095</x:v>
      </x:c>
      <x:c r="B96" t="str">
        <x:v>Harper</x:v>
      </x:c>
      <x:c r="C96" t="str">
        <x:v>Smith</x:v>
      </x:c>
      <x:c r="D96" t="str">
        <x:v>Summit Analytics</x:v>
      </x:c>
      <x:c r="E96" t="str">
        <x:v>harper.smith904@prospect.co</x:v>
      </x:c>
      <x:c r="F96" t="str">
        <x:v>(363) 480-2529</x:v>
      </x:c>
      <x:c r="G96" t="str">
        <x:v>NC</x:v>
      </x:c>
      <x:c r="H96" t="str">
        <x:v>Webinar</x:v>
      </x:c>
      <x:c r="I96" t="str">
        <x:v>Closed Lost</x:v>
      </x:c>
      <x:c r="J96" t="str">
        <x:v>Taylor Morgan</x:v>
      </x:c>
      <x:c r="K96" s="6" t="n">
        <x:v>46137</x:v>
      </x:c>
      <x:c r="L96" s="6" t="n">
        <x:v>46162</x:v>
      </x:c>
      <x:c r="M96" s="6"/>
      <x:c r="N96" s="8" t="n">
        <x:v>84600</x:v>
      </x:c>
      <x:c r="O96" t="str">
        <x:v>Manufacturing</x:v>
      </x:c>
      <x:c r="P96" t="str">
        <x:v>Yes</x:v>
      </x:c>
      <x:c r="Q96" t="str">
        <x:v>No</x:v>
      </x:c>
      <x:c r="R96" s="6" t="n">
        <x:v>46166</x:v>
      </x:c>
      <x:c r="S96" t="str">
        <x:f>IF(E96="","Unique",IF(COUNTIF($E$2:E96,E96)&gt;1,"Duplicate","Unique"))</x:f>
        <x:v>Unique</x:v>
      </x:c>
      <x:c r="T96" t="str">
        <x:f>IF(J96="Unassigned","Yes","No")</x:f>
        <x:v>No</x:v>
      </x:c>
      <x:c r="U96" t="str">
        <x:f>IF(AND(E96="",F96=""),"Yes","No")</x:f>
        <x:v>No</x:v>
      </x:c>
      <x:c r="V96" t="str">
        <x:f>IF(AND('Dashboard'!$B$2-L96&gt;30,I96&lt;&gt;"Closed Won",I96&lt;&gt;"Closed Lost"),"Yes","No")</x:f>
        <x:v>No</x:v>
      </x:c>
      <x:c r="W96" t="str">
        <x:f>IF(AND(M96&lt;&gt;"",M96&lt;'Dashboard'!$B$2,I96&lt;&gt;"Closed Won",I96&lt;&gt;"Closed Lost"),"Yes","No")</x:f>
        <x:v>No</x:v>
      </x:c>
      <x:c r="X96" t="str">
        <x:f>IF(OR(S96="Duplicate",T96="Yes",U96="Yes",D96="Unknown",W96="Yes"),"Yes","No")</x:f>
        <x:v>No</x:v>
      </x:c>
      <x:c r="Y96" t="n">
        <x:f>IF(S96="Duplicate",0,1)</x:f>
        <x:v>1</x:v>
      </x:c>
    </x:row>
    <x:row r="97">
      <x:c r="A97" t="str">
        <x:v>L-0096</x:v>
      </x:c>
      <x:c r="B97" t="str">
        <x:v>Luna</x:v>
      </x:c>
      <x:c r="C97" t="str">
        <x:v>Davis</x:v>
      </x:c>
      <x:c r="D97" t="str">
        <x:v>Prairie Health</x:v>
      </x:c>
      <x:c r="E97" t="str">
        <x:v>luna.davis235@mailhub.net</x:v>
      </x:c>
      <x:c r="F97" t="str">
        <x:v>(292) 948-2678</x:v>
      </x:c>
      <x:c r="G97" t="str">
        <x:v>CO</x:v>
      </x:c>
      <x:c r="H97" t="str">
        <x:v>LinkedIn</x:v>
      </x:c>
      <x:c r="I97" t="str">
        <x:v>Closed Won</x:v>
      </x:c>
      <x:c r="J97" t="str">
        <x:v>Jordan Lee</x:v>
      </x:c>
      <x:c r="K97" s="6" t="n">
        <x:v>46138</x:v>
      </x:c>
      <x:c r="L97" s="6" t="n">
        <x:v>46226</x:v>
      </x:c>
      <x:c r="M97" s="6"/>
      <x:c r="N97" s="8" t="n">
        <x:v>13400</x:v>
      </x:c>
      <x:c r="O97" t="str">
        <x:v>Healthcare</x:v>
      </x:c>
      <x:c r="P97" t="str">
        <x:v>Yes</x:v>
      </x:c>
      <x:c r="Q97" t="str">
        <x:v>Yes</x:v>
      </x:c>
      <x:c r="R97" s="6" t="n">
        <x:v>46228</x:v>
      </x:c>
      <x:c r="S97" t="str">
        <x:f>IF(E97="","Unique",IF(COUNTIF($E$2:E97,E97)&gt;1,"Duplicate","Unique"))</x:f>
        <x:v>Unique</x:v>
      </x:c>
      <x:c r="T97" t="str">
        <x:f>IF(J97="Unassigned","Yes","No")</x:f>
        <x:v>No</x:v>
      </x:c>
      <x:c r="U97" t="str">
        <x:f>IF(AND(E97="",F97=""),"Yes","No")</x:f>
        <x:v>No</x:v>
      </x:c>
      <x:c r="V97" t="str">
        <x:f>IF(AND('Dashboard'!$B$2-L97&gt;30,I97&lt;&gt;"Closed Won",I97&lt;&gt;"Closed Lost"),"Yes","No")</x:f>
        <x:v>No</x:v>
      </x:c>
      <x:c r="W97" t="str">
        <x:f>IF(AND(M97&lt;&gt;"",M97&lt;'Dashboard'!$B$2,I97&lt;&gt;"Closed Won",I97&lt;&gt;"Closed Lost"),"Yes","No")</x:f>
        <x:v>No</x:v>
      </x:c>
      <x:c r="X97" t="str">
        <x:f>IF(OR(S97="Duplicate",T97="Yes",U97="Yes",D97="Unknown",W97="Yes"),"Yes","No")</x:f>
        <x:v>No</x:v>
      </x:c>
      <x:c r="Y97" t="n">
        <x:f>IF(S97="Duplicate",0,1)</x:f>
        <x:v>1</x:v>
      </x:c>
    </x:row>
    <x:row r="98">
      <x:c r="A98" t="str">
        <x:v>L-0097</x:v>
      </x:c>
      <x:c r="B98" t="str">
        <x:v>Henry</x:v>
      </x:c>
      <x:c r="C98" t="str">
        <x:v>Moore</x:v>
      </x:c>
      <x:c r="D98" t="str">
        <x:v>Apex Manufacturing</x:v>
      </x:c>
      <x:c r="E98" t="str">
        <x:v>elijah.garcia30@examplebiz.com</x:v>
      </x:c>
      <x:c r="F98" t="str">
        <x:v>(454) 483-2380</x:v>
      </x:c>
      <x:c r="G98" t="str">
        <x:v>TX</x:v>
      </x:c>
      <x:c r="H98" t="str">
        <x:v>Website</x:v>
      </x:c>
      <x:c r="I98" t="str">
        <x:v>New</x:v>
      </x:c>
      <x:c r="J98" t="str">
        <x:v>Casey Patel</x:v>
      </x:c>
      <x:c r="K98" s="6" t="n">
        <x:v>46060</x:v>
      </x:c>
      <x:c r="L98" s="6" t="n">
        <x:v>46158</x:v>
      </x:c>
      <x:c r="M98" s="6" t="n">
        <x:v>46172</x:v>
      </x:c>
      <x:c r="N98" s="8" t="n">
        <x:v>82000</x:v>
      </x:c>
      <x:c r="O98" t="str">
        <x:v>Technology</x:v>
      </x:c>
      <x:c r="P98" t="str">
        <x:v>No</x:v>
      </x:c>
      <x:c r="Q98" t="str">
        <x:v>No</x:v>
      </x:c>
      <x:c r="R98" s="6"/>
      <x:c r="S98" t="str">
        <x:f>IF(E98="","Unique",IF(COUNTIF($E$2:E98,E98)&gt;1,"Duplicate","Unique"))</x:f>
        <x:v>Duplicate</x:v>
      </x:c>
      <x:c r="T98" t="str">
        <x:f>IF(J98="Unassigned","Yes","No")</x:f>
        <x:v>No</x:v>
      </x:c>
      <x:c r="U98" t="str">
        <x:f>IF(AND(E98="",F98=""),"Yes","No")</x:f>
        <x:v>No</x:v>
      </x:c>
      <x:c r="V98" t="str">
        <x:f>IF(AND('Dashboard'!$B$2-L98&gt;30,I98&lt;&gt;"Closed Won",I98&lt;&gt;"Closed Lost"),"Yes","No")</x:f>
        <x:v>Yes</x:v>
      </x:c>
      <x:c r="W98" t="str">
        <x:f>IF(AND(M98&lt;&gt;"",M98&lt;'Dashboard'!$B$2,I98&lt;&gt;"Closed Won",I98&lt;&gt;"Closed Lost"),"Yes","No")</x:f>
        <x:v>Yes</x:v>
      </x:c>
      <x:c r="X98" t="str">
        <x:f>IF(OR(S98="Duplicate",T98="Yes",U98="Yes",D98="Unknown",W98="Yes"),"Yes","No")</x:f>
        <x:v>Yes</x:v>
      </x:c>
      <x:c r="Y98" t="n">
        <x:f>IF(S98="Duplicate",0,1)</x:f>
        <x:v>0</x:v>
      </x:c>
    </x:row>
    <x:row r="99">
      <x:c r="A99" t="str">
        <x:v>L-0098</x:v>
      </x:c>
      <x:c r="B99" t="str">
        <x:v>Noah</x:v>
      </x:c>
      <x:c r="C99" t="str">
        <x:v>Davis</x:v>
      </x:c>
      <x:c r="D99" t="str">
        <x:v>Atlas Commerce</x:v>
      </x:c>
      <x:c r="E99" t="str">
        <x:v>noah.davis431@prospect.co</x:v>
      </x:c>
      <x:c r="F99" t="str"/>
      <x:c r="G99" t="str">
        <x:v>GA</x:v>
      </x:c>
      <x:c r="H99" t="str">
        <x:v>Email Campaign</x:v>
      </x:c>
      <x:c r="I99" t="str">
        <x:v>New</x:v>
      </x:c>
      <x:c r="J99" t="str">
        <x:v>Alex Kim</x:v>
      </x:c>
      <x:c r="K99" s="6" t="n">
        <x:v>46154</x:v>
      </x:c>
      <x:c r="L99" s="6" t="n">
        <x:v>46194</x:v>
      </x:c>
      <x:c r="M99" s="6" t="n">
        <x:v>46201</x:v>
      </x:c>
      <x:c r="N99" s="8" t="n">
        <x:v>34400</x:v>
      </x:c>
      <x:c r="O99" t="str">
        <x:v>Technology</x:v>
      </x:c>
      <x:c r="P99" t="str">
        <x:v>No</x:v>
      </x:c>
      <x:c r="Q99" t="str">
        <x:v>No</x:v>
      </x:c>
      <x:c r="R99" s="6"/>
      <x:c r="S99" t="str">
        <x:f>IF(E99="","Unique",IF(COUNTIF($E$2:E99,E99)&gt;1,"Duplicate","Unique"))</x:f>
        <x:v>Unique</x:v>
      </x:c>
      <x:c r="T99" t="str">
        <x:f>IF(J99="Unassigned","Yes","No")</x:f>
        <x:v>No</x:v>
      </x:c>
      <x:c r="U99" t="str">
        <x:f>IF(AND(E99="",F99=""),"Yes","No")</x:f>
        <x:v>No</x:v>
      </x:c>
      <x:c r="V99" t="str">
        <x:f>IF(AND('Dashboard'!$B$2-L99&gt;30,I99&lt;&gt;"Closed Won",I99&lt;&gt;"Closed Lost"),"Yes","No")</x:f>
        <x:v>Yes</x:v>
      </x:c>
      <x:c r="W99" t="str">
        <x:f>IF(AND(M99&lt;&gt;"",M99&lt;'Dashboard'!$B$2,I99&lt;&gt;"Closed Won",I99&lt;&gt;"Closed Lost"),"Yes","No")</x:f>
        <x:v>Yes</x:v>
      </x:c>
      <x:c r="X99" t="str">
        <x:f>IF(OR(S99="Duplicate",T99="Yes",U99="Yes",D99="Unknown",W99="Yes"),"Yes","No")</x:f>
        <x:v>Yes</x:v>
      </x:c>
      <x:c r="Y99" t="n">
        <x:f>IF(S99="Duplicate",0,1)</x:f>
        <x:v>1</x:v>
      </x:c>
    </x:row>
    <x:row r="100">
      <x:c r="A100" t="str">
        <x:v>L-0099</x:v>
      </x:c>
      <x:c r="B100" t="str">
        <x:v>Mia</x:v>
      </x:c>
      <x:c r="C100" t="str">
        <x:v>Lee</x:v>
      </x:c>
      <x:c r="D100" t="str">
        <x:v>Blue Ridge Supply</x:v>
      </x:c>
      <x:c r="E100" t="str">
        <x:v>mia.lee601@northmail.com</x:v>
      </x:c>
      <x:c r="F100" t="str">
        <x:v>(518) 915-8167</x:v>
      </x:c>
      <x:c r="G100" t="str">
        <x:v>TX</x:v>
      </x:c>
      <x:c r="H100" t="str">
        <x:v>Referral</x:v>
      </x:c>
      <x:c r="I100" t="str">
        <x:v>Qualified</x:v>
      </x:c>
      <x:c r="J100" t="str">
        <x:v>Morgan Reed</x:v>
      </x:c>
      <x:c r="K100" s="6" t="n">
        <x:v>46194</x:v>
      </x:c>
      <x:c r="L100" s="6" t="n">
        <x:v>46245</x:v>
      </x:c>
      <x:c r="M100" s="6" t="n">
        <x:v>46252</x:v>
      </x:c>
      <x:c r="N100" s="8" t="n">
        <x:v>46800</x:v>
      </x:c>
      <x:c r="O100" t="str">
        <x:v>Financial Services</x:v>
      </x:c>
      <x:c r="P100" t="str">
        <x:v>Yes</x:v>
      </x:c>
      <x:c r="Q100" t="str">
        <x:v>No</x:v>
      </x:c>
      <x:c r="R100" s="6"/>
      <x:c r="S100" t="str">
        <x:f>IF(E100="","Unique",IF(COUNTIF($E$2:E100,E100)&gt;1,"Duplicate","Unique"))</x:f>
        <x:v>Unique</x:v>
      </x:c>
      <x:c r="T100" t="str">
        <x:f>IF(J100="Unassigned","Yes","No")</x:f>
        <x:v>No</x:v>
      </x:c>
      <x:c r="U100" t="str">
        <x:f>IF(AND(E100="",F100=""),"Yes","No")</x:f>
        <x:v>No</x:v>
      </x:c>
      <x:c r="V100" t="str">
        <x:f>IF(AND('Dashboard'!$B$2-L100&gt;30,I100&lt;&gt;"Closed Won",I100&lt;&gt;"Closed Lost"),"Yes","No")</x:f>
        <x:v>No</x:v>
      </x:c>
      <x:c r="W100" t="str">
        <x:f>IF(AND(M100&lt;&gt;"",M100&lt;'Dashboard'!$B$2,I100&lt;&gt;"Closed Won",I100&lt;&gt;"Closed Lost"),"Yes","No")</x:f>
        <x:v>No</x:v>
      </x:c>
      <x:c r="X100" t="str">
        <x:f>IF(OR(S100="Duplicate",T100="Yes",U100="Yes",D100="Unknown",W100="Yes"),"Yes","No")</x:f>
        <x:v>No</x:v>
      </x:c>
      <x:c r="Y100" t="n">
        <x:f>IF(S100="Duplicate",0,1)</x:f>
        <x:v>1</x:v>
      </x:c>
    </x:row>
    <x:row r="101">
      <x:c r="A101" t="str">
        <x:v>L-0100</x:v>
      </x:c>
      <x:c r="B101" t="str">
        <x:v>Logan</x:v>
      </x:c>
      <x:c r="C101" t="str">
        <x:v>Martin</x:v>
      </x:c>
      <x:c r="D101" t="str">
        <x:v>Horizon Bio</x:v>
      </x:c>
      <x:c r="E101" t="str">
        <x:v>luna.lee765@mailhub.net</x:v>
      </x:c>
      <x:c r="F101" t="str">
        <x:v>(479) 736-2046</x:v>
      </x:c>
      <x:c r="G101" t="str">
        <x:v>IL</x:v>
      </x:c>
      <x:c r="H101" t="str">
        <x:v>Website</x:v>
      </x:c>
      <x:c r="I101" t="str">
        <x:v>Closed Won</x:v>
      </x:c>
      <x:c r="J101" t="str">
        <x:v>Jordan Lee</x:v>
      </x:c>
      <x:c r="K101" s="6" t="n">
        <x:v>46178</x:v>
      </x:c>
      <x:c r="L101" s="6" t="n">
        <x:v>46193</x:v>
      </x:c>
      <x:c r="M101" s="6"/>
      <x:c r="N101" s="8" t="n">
        <x:v>66100</x:v>
      </x:c>
      <x:c r="O101" t="str">
        <x:v>Manufacturing</x:v>
      </x:c>
      <x:c r="P101" t="str">
        <x:v>Yes</x:v>
      </x:c>
      <x:c r="Q101" t="str">
        <x:v>Yes</x:v>
      </x:c>
      <x:c r="R101" s="6" t="n">
        <x:v>46195</x:v>
      </x:c>
      <x:c r="S101" t="str">
        <x:f>IF(E101="","Unique",IF(COUNTIF($E$2:E101,E101)&gt;1,"Duplicate","Unique"))</x:f>
        <x:v>Duplicate</x:v>
      </x:c>
      <x:c r="T101" t="str">
        <x:f>IF(J101="Unassigned","Yes","No")</x:f>
        <x:v>No</x:v>
      </x:c>
      <x:c r="U101" t="str">
        <x:f>IF(AND(E101="",F101=""),"Yes","No")</x:f>
        <x:v>No</x:v>
      </x:c>
      <x:c r="V101" t="str">
        <x:f>IF(AND('Dashboard'!$B$2-L101&gt;30,I101&lt;&gt;"Closed Won",I101&lt;&gt;"Closed Lost"),"Yes","No")</x:f>
        <x:v>No</x:v>
      </x:c>
      <x:c r="W101" t="str">
        <x:f>IF(AND(M101&lt;&gt;"",M101&lt;'Dashboard'!$B$2,I101&lt;&gt;"Closed Won",I101&lt;&gt;"Closed Lost"),"Yes","No")</x:f>
        <x:v>No</x:v>
      </x:c>
      <x:c r="X101" t="str">
        <x:f>IF(OR(S101="Duplicate",T101="Yes",U101="Yes",D101="Unknown",W101="Yes"),"Yes","No")</x:f>
        <x:v>Yes</x:v>
      </x:c>
      <x:c r="Y101" t="n">
        <x:f>IF(S101="Duplicate",0,1)</x:f>
        <x:v>0</x:v>
      </x:c>
    </x:row>
    <x:row r="102">
      <x:c r="A102" t="str">
        <x:v>L-0101</x:v>
      </x:c>
      <x:c r="B102" t="str">
        <x:v>Ava</x:v>
      </x:c>
      <x:c r="C102" t="str">
        <x:v>Davis</x:v>
      </x:c>
      <x:c r="D102" t="str">
        <x:v>Peakline Systems</x:v>
      </x:c>
      <x:c r="E102" t="str">
        <x:v>ava.davis230@prospect.co</x:v>
      </x:c>
      <x:c r="F102" t="str">
        <x:v>(455) 626-6241</x:v>
      </x:c>
      <x:c r="G102" t="str">
        <x:v>IL</x:v>
      </x:c>
      <x:c r="H102" t="str">
        <x:v>Referral</x:v>
      </x:c>
      <x:c r="I102" t="str">
        <x:v>New</x:v>
      </x:c>
      <x:c r="J102" t="str">
        <x:v>Morgan Reed</x:v>
      </x:c>
      <x:c r="K102" s="6" t="n">
        <x:v>46237</x:v>
      </x:c>
      <x:c r="L102" s="6" t="n">
        <x:v>46245</x:v>
      </x:c>
      <x:c r="M102" s="6" t="n">
        <x:v>46270</x:v>
      </x:c>
      <x:c r="N102" s="8" t="n">
        <x:v>63600</x:v>
      </x:c>
      <x:c r="O102" t="str">
        <x:v>Logistics</x:v>
      </x:c>
      <x:c r="P102" t="str">
        <x:v>No</x:v>
      </x:c>
      <x:c r="Q102" t="str">
        <x:v>No</x:v>
      </x:c>
      <x:c r="R102" s="6"/>
      <x:c r="S102" t="str">
        <x:f>IF(E102="","Unique",IF(COUNTIF($E$2:E102,E102)&gt;1,"Duplicate","Unique"))</x:f>
        <x:v>Unique</x:v>
      </x:c>
      <x:c r="T102" t="str">
        <x:f>IF(J102="Unassigned","Yes","No")</x:f>
        <x:v>No</x:v>
      </x:c>
      <x:c r="U102" t="str">
        <x:f>IF(AND(E102="",F102=""),"Yes","No")</x:f>
        <x:v>No</x:v>
      </x:c>
      <x:c r="V102" t="str">
        <x:f>IF(AND('Dashboard'!$B$2-L102&gt;30,I102&lt;&gt;"Closed Won",I102&lt;&gt;"Closed Lost"),"Yes","No")</x:f>
        <x:v>No</x:v>
      </x:c>
      <x:c r="W102" t="str">
        <x:f>IF(AND(M102&lt;&gt;"",M102&lt;'Dashboard'!$B$2,I102&lt;&gt;"Closed Won",I102&lt;&gt;"Closed Lost"),"Yes","No")</x:f>
        <x:v>No</x:v>
      </x:c>
      <x:c r="X102" t="str">
        <x:f>IF(OR(S102="Duplicate",T102="Yes",U102="Yes",D102="Unknown",W102="Yes"),"Yes","No")</x:f>
        <x:v>No</x:v>
      </x:c>
      <x:c r="Y102" t="n">
        <x:f>IF(S102="Duplicate",0,1)</x:f>
        <x:v>1</x:v>
      </x:c>
    </x:row>
    <x:row r="103">
      <x:c r="A103" t="str">
        <x:v>L-0102</x:v>
      </x:c>
      <x:c r="B103" t="str">
        <x:v>Elijah</x:v>
      </x:c>
      <x:c r="C103" t="str">
        <x:v>Moore</x:v>
      </x:c>
      <x:c r="D103" t="str">
        <x:v>Northstar Labs</x:v>
      </x:c>
      <x:c r="E103" t="str"/>
      <x:c r="F103" t="str">
        <x:v>(401) 950-9954</x:v>
      </x:c>
      <x:c r="G103" t="str">
        <x:v>FL</x:v>
      </x:c>
      <x:c r="H103" t="str">
        <x:v>Referral</x:v>
      </x:c>
      <x:c r="I103" t="str">
        <x:v>Closed Won</x:v>
      </x:c>
      <x:c r="J103" t="str">
        <x:v>Casey Patel</x:v>
      </x:c>
      <x:c r="K103" s="6" t="n">
        <x:v>46057</x:v>
      </x:c>
      <x:c r="L103" s="6" t="n">
        <x:v>46216</x:v>
      </x:c>
      <x:c r="M103" s="6"/>
      <x:c r="N103" s="8" t="n">
        <x:v>22500</x:v>
      </x:c>
      <x:c r="O103" t="str">
        <x:v>Biotech</x:v>
      </x:c>
      <x:c r="P103" t="str">
        <x:v>Yes</x:v>
      </x:c>
      <x:c r="Q103" t="str">
        <x:v>Yes</x:v>
      </x:c>
      <x:c r="R103" s="6" t="n">
        <x:v>46216</x:v>
      </x:c>
      <x:c r="S103" t="str">
        <x:f>IF(E103="","Unique",IF(COUNTIF($E$2:E103,E103)&gt;1,"Duplicate","Unique"))</x:f>
        <x:v>Unique</x:v>
      </x:c>
      <x:c r="T103" t="str">
        <x:f>IF(J103="Unassigned","Yes","No")</x:f>
        <x:v>No</x:v>
      </x:c>
      <x:c r="U103" t="str">
        <x:f>IF(AND(E103="",F103=""),"Yes","No")</x:f>
        <x:v>No</x:v>
      </x:c>
      <x:c r="V103" t="str">
        <x:f>IF(AND('Dashboard'!$B$2-L103&gt;30,I103&lt;&gt;"Closed Won",I103&lt;&gt;"Closed Lost"),"Yes","No")</x:f>
        <x:v>No</x:v>
      </x:c>
      <x:c r="W103" t="str">
        <x:f>IF(AND(M103&lt;&gt;"",M103&lt;'Dashboard'!$B$2,I103&lt;&gt;"Closed Won",I103&lt;&gt;"Closed Lost"),"Yes","No")</x:f>
        <x:v>No</x:v>
      </x:c>
      <x:c r="X103" t="str">
        <x:f>IF(OR(S103="Duplicate",T103="Yes",U103="Yes",D103="Unknown",W103="Yes"),"Yes","No")</x:f>
        <x:v>No</x:v>
      </x:c>
      <x:c r="Y103" t="n">
        <x:f>IF(S103="Duplicate",0,1)</x:f>
        <x:v>1</x:v>
      </x:c>
    </x:row>
    <x:row r="104">
      <x:c r="A104" t="str">
        <x:v>L-0103</x:v>
      </x:c>
      <x:c r="B104" t="str">
        <x:v>Mason</x:v>
      </x:c>
      <x:c r="C104" t="str">
        <x:v>Taylor</x:v>
      </x:c>
      <x:c r="D104" t="str">
        <x:v>Atlas Commerce</x:v>
      </x:c>
      <x:c r="E104" t="str">
        <x:v>mason.taylor998@northmail.com</x:v>
      </x:c>
      <x:c r="F104" t="str">
        <x:v>(795) 297-9280</x:v>
      </x:c>
      <x:c r="G104" t="str">
        <x:v>CA</x:v>
      </x:c>
      <x:c r="H104" t="str">
        <x:v>LinkedIn</x:v>
      </x:c>
      <x:c r="I104" t="str">
        <x:v>New</x:v>
      </x:c>
      <x:c r="J104" t="str">
        <x:v>Morgan Reed</x:v>
      </x:c>
      <x:c r="K104" s="6" t="n">
        <x:v>46187</x:v>
      </x:c>
      <x:c r="L104" s="6" t="n">
        <x:v>46239</x:v>
      </x:c>
      <x:c r="M104" s="6" t="n">
        <x:v>46264</x:v>
      </x:c>
      <x:c r="N104" s="8" t="n">
        <x:v>76400</x:v>
      </x:c>
      <x:c r="O104" t="str">
        <x:v>Healthcare</x:v>
      </x:c>
      <x:c r="P104" t="str">
        <x:v>No</x:v>
      </x:c>
      <x:c r="Q104" t="str">
        <x:v>No</x:v>
      </x:c>
      <x:c r="R104" s="6"/>
      <x:c r="S104" t="str">
        <x:f>IF(E104="","Unique",IF(COUNTIF($E$2:E104,E104)&gt;1,"Duplicate","Unique"))</x:f>
        <x:v>Unique</x:v>
      </x:c>
      <x:c r="T104" t="str">
        <x:f>IF(J104="Unassigned","Yes","No")</x:f>
        <x:v>No</x:v>
      </x:c>
      <x:c r="U104" t="str">
        <x:f>IF(AND(E104="",F104=""),"Yes","No")</x:f>
        <x:v>No</x:v>
      </x:c>
      <x:c r="V104" t="str">
        <x:f>IF(AND('Dashboard'!$B$2-L104&gt;30,I104&lt;&gt;"Closed Won",I104&lt;&gt;"Closed Lost"),"Yes","No")</x:f>
        <x:v>No</x:v>
      </x:c>
      <x:c r="W104" t="str">
        <x:f>IF(AND(M104&lt;&gt;"",M104&lt;'Dashboard'!$B$2,I104&lt;&gt;"Closed Won",I104&lt;&gt;"Closed Lost"),"Yes","No")</x:f>
        <x:v>No</x:v>
      </x:c>
      <x:c r="X104" t="str">
        <x:f>IF(OR(S104="Duplicate",T104="Yes",U104="Yes",D104="Unknown",W104="Yes"),"Yes","No")</x:f>
        <x:v>No</x:v>
      </x:c>
      <x:c r="Y104" t="n">
        <x:f>IF(S104="Duplicate",0,1)</x:f>
        <x:v>1</x:v>
      </x:c>
    </x:row>
    <x:row r="105">
      <x:c r="A105" t="str">
        <x:v>L-0104</x:v>
      </x:c>
      <x:c r="B105" t="str">
        <x:v>Mason</x:v>
      </x:c>
      <x:c r="C105" t="str">
        <x:v>Williams</x:v>
      </x:c>
      <x:c r="D105" t="str">
        <x:v>Apex Manufacturing</x:v>
      </x:c>
      <x:c r="E105" t="str">
        <x:v>mason.williams367@examplebiz.com</x:v>
      </x:c>
      <x:c r="F105" t="str">
        <x:v>(663) 515-8591</x:v>
      </x:c>
      <x:c r="G105" t="str">
        <x:v>WA</x:v>
      </x:c>
      <x:c r="H105" t="str">
        <x:v>Website</x:v>
      </x:c>
      <x:c r="I105" t="str">
        <x:v>New</x:v>
      </x:c>
      <x:c r="J105" t="str">
        <x:v>Alex Kim</x:v>
      </x:c>
      <x:c r="K105" s="6" t="n">
        <x:v>46131</x:v>
      </x:c>
      <x:c r="L105" s="6" t="n">
        <x:v>46190</x:v>
      </x:c>
      <x:c r="M105" s="6" t="n">
        <x:v>46203</x:v>
      </x:c>
      <x:c r="N105" s="8" t="n">
        <x:v>36000</x:v>
      </x:c>
      <x:c r="O105" t="str">
        <x:v>Manufacturing</x:v>
      </x:c>
      <x:c r="P105" t="str">
        <x:v>No</x:v>
      </x:c>
      <x:c r="Q105" t="str">
        <x:v>No</x:v>
      </x:c>
      <x:c r="R105" s="6"/>
      <x:c r="S105" t="str">
        <x:f>IF(E105="","Unique",IF(COUNTIF($E$2:E105,E105)&gt;1,"Duplicate","Unique"))</x:f>
        <x:v>Unique</x:v>
      </x:c>
      <x:c r="T105" t="str">
        <x:f>IF(J105="Unassigned","Yes","No")</x:f>
        <x:v>No</x:v>
      </x:c>
      <x:c r="U105" t="str">
        <x:f>IF(AND(E105="",F105=""),"Yes","No")</x:f>
        <x:v>No</x:v>
      </x:c>
      <x:c r="V105" t="str">
        <x:f>IF(AND('Dashboard'!$B$2-L105&gt;30,I105&lt;&gt;"Closed Won",I105&lt;&gt;"Closed Lost"),"Yes","No")</x:f>
        <x:v>Yes</x:v>
      </x:c>
      <x:c r="W105" t="str">
        <x:f>IF(AND(M105&lt;&gt;"",M105&lt;'Dashboard'!$B$2,I105&lt;&gt;"Closed Won",I105&lt;&gt;"Closed Lost"),"Yes","No")</x:f>
        <x:v>Yes</x:v>
      </x:c>
      <x:c r="X105" t="str">
        <x:f>IF(OR(S105="Duplicate",T105="Yes",U105="Yes",D105="Unknown",W105="Yes"),"Yes","No")</x:f>
        <x:v>Yes</x:v>
      </x:c>
      <x:c r="Y105" t="n">
        <x:f>IF(S105="Duplicate",0,1)</x:f>
        <x:v>1</x:v>
      </x:c>
    </x:row>
    <x:row r="106">
      <x:c r="A106" t="str">
        <x:v>L-0105</x:v>
      </x:c>
      <x:c r="B106" t="str">
        <x:v>Lucas</x:v>
      </x:c>
      <x:c r="C106" t="str">
        <x:v>Rodriguez</x:v>
      </x:c>
      <x:c r="D106" t="str">
        <x:v>Cedarworks</x:v>
      </x:c>
      <x:c r="E106" t="str">
        <x:v>lucas.rodriguez125@northmail.com</x:v>
      </x:c>
      <x:c r="F106" t="str">
        <x:v>(264) 999-4641</x:v>
      </x:c>
      <x:c r="G106" t="str">
        <x:v>AZ</x:v>
      </x:c>
      <x:c r="H106" t="str">
        <x:v>Email Campaign</x:v>
      </x:c>
      <x:c r="I106" t="str">
        <x:v>Qualified</x:v>
      </x:c>
      <x:c r="J106" t="str">
        <x:v>Taylor Morgan</x:v>
      </x:c>
      <x:c r="K106" s="6" t="n">
        <x:v>46106</x:v>
      </x:c>
      <x:c r="L106" s="6" t="n">
        <x:v>46169</x:v>
      </x:c>
      <x:c r="M106" s="6" t="n">
        <x:v>46175</x:v>
      </x:c>
      <x:c r="N106" s="8" t="n">
        <x:v>40600</x:v>
      </x:c>
      <x:c r="O106" t="str">
        <x:v>Healthcare</x:v>
      </x:c>
      <x:c r="P106" t="str">
        <x:v>Yes</x:v>
      </x:c>
      <x:c r="Q106" t="str">
        <x:v>No</x:v>
      </x:c>
      <x:c r="R106" s="6"/>
      <x:c r="S106" t="str">
        <x:f>IF(E106="","Unique",IF(COUNTIF($E$2:E106,E106)&gt;1,"Duplicate","Unique"))</x:f>
        <x:v>Unique</x:v>
      </x:c>
      <x:c r="T106" t="str">
        <x:f>IF(J106="Unassigned","Yes","No")</x:f>
        <x:v>No</x:v>
      </x:c>
      <x:c r="U106" t="str">
        <x:f>IF(AND(E106="",F106=""),"Yes","No")</x:f>
        <x:v>No</x:v>
      </x:c>
      <x:c r="V106" t="str">
        <x:f>IF(AND('Dashboard'!$B$2-L106&gt;30,I106&lt;&gt;"Closed Won",I106&lt;&gt;"Closed Lost"),"Yes","No")</x:f>
        <x:v>Yes</x:v>
      </x:c>
      <x:c r="W106" t="str">
        <x:f>IF(AND(M106&lt;&gt;"",M106&lt;'Dashboard'!$B$2,I106&lt;&gt;"Closed Won",I106&lt;&gt;"Closed Lost"),"Yes","No")</x:f>
        <x:v>Yes</x:v>
      </x:c>
      <x:c r="X106" t="str">
        <x:f>IF(OR(S106="Duplicate",T106="Yes",U106="Yes",D106="Unknown",W106="Yes"),"Yes","No")</x:f>
        <x:v>Yes</x:v>
      </x:c>
      <x:c r="Y106" t="n">
        <x:f>IF(S106="Duplicate",0,1)</x:f>
        <x:v>1</x:v>
      </x:c>
    </x:row>
    <x:row r="107">
      <x:c r="A107" t="str">
        <x:v>L-0106</x:v>
      </x:c>
      <x:c r="B107" t="str">
        <x:v>Isabella</x:v>
      </x:c>
      <x:c r="C107" t="str">
        <x:v>Brown</x:v>
      </x:c>
      <x:c r="D107" t="str">
        <x:v>Peakline Systems</x:v>
      </x:c>
      <x:c r="E107" t="str">
        <x:v>isabella.brown700@mailhub.net</x:v>
      </x:c>
      <x:c r="F107" t="str">
        <x:v>(377) 562-4517</x:v>
      </x:c>
      <x:c r="G107" t="str">
        <x:v>CO</x:v>
      </x:c>
      <x:c r="H107" t="str">
        <x:v>Website</x:v>
      </x:c>
      <x:c r="I107" t="str">
        <x:v>Qualified</x:v>
      </x:c>
      <x:c r="J107" t="str">
        <x:v>Morgan Reed</x:v>
      </x:c>
      <x:c r="K107" s="6" t="n">
        <x:v>46036</x:v>
      </x:c>
      <x:c r="L107" s="6" t="n">
        <x:v>46221</x:v>
      </x:c>
      <x:c r="M107" s="6" t="n">
        <x:v>46236</x:v>
      </x:c>
      <x:c r="N107" s="8" t="n">
        <x:v>43400</x:v>
      </x:c>
      <x:c r="O107" t="str">
        <x:v>Logistics</x:v>
      </x:c>
      <x:c r="P107" t="str">
        <x:v>Yes</x:v>
      </x:c>
      <x:c r="Q107" t="str">
        <x:v>No</x:v>
      </x:c>
      <x:c r="R107" s="6"/>
      <x:c r="S107" t="str">
        <x:f>IF(E107="","Unique",IF(COUNTIF($E$2:E107,E107)&gt;1,"Duplicate","Unique"))</x:f>
        <x:v>Unique</x:v>
      </x:c>
      <x:c r="T107" t="str">
        <x:f>IF(J107="Unassigned","Yes","No")</x:f>
        <x:v>No</x:v>
      </x:c>
      <x:c r="U107" t="str">
        <x:f>IF(AND(E107="",F107=""),"Yes","No")</x:f>
        <x:v>No</x:v>
      </x:c>
      <x:c r="V107" t="str">
        <x:f>IF(AND('Dashboard'!$B$2-L107&gt;30,I107&lt;&gt;"Closed Won",I107&lt;&gt;"Closed Lost"),"Yes","No")</x:f>
        <x:v>No</x:v>
      </x:c>
      <x:c r="W107" t="str">
        <x:f>IF(AND(M107&lt;&gt;"",M107&lt;'Dashboard'!$B$2,I107&lt;&gt;"Closed Won",I107&lt;&gt;"Closed Lost"),"Yes","No")</x:f>
        <x:v>Yes</x:v>
      </x:c>
      <x:c r="X107" t="str">
        <x:f>IF(OR(S107="Duplicate",T107="Yes",U107="Yes",D107="Unknown",W107="Yes"),"Yes","No")</x:f>
        <x:v>Yes</x:v>
      </x:c>
      <x:c r="Y107" t="n">
        <x:f>IF(S107="Duplicate",0,1)</x:f>
        <x:v>1</x:v>
      </x:c>
    </x:row>
    <x:row r="108">
      <x:c r="A108" t="str">
        <x:v>L-0107</x:v>
      </x:c>
      <x:c r="B108" t="str">
        <x:v>Evelyn</x:v>
      </x:c>
      <x:c r="C108" t="str">
        <x:v>Davis</x:v>
      </x:c>
      <x:c r="D108" t="str">
        <x:v>Unknown</x:v>
      </x:c>
      <x:c r="E108" t="str">
        <x:v>evelyn.davis277@examplebiz.com</x:v>
      </x:c>
      <x:c r="F108" t="str">
        <x:v>(227) 526-4588</x:v>
      </x:c>
      <x:c r="G108" t="str">
        <x:v>PA</x:v>
      </x:c>
      <x:c r="H108" t="str">
        <x:v>Referral</x:v>
      </x:c>
      <x:c r="I108" t="str">
        <x:v>Qualified</x:v>
      </x:c>
      <x:c r="J108" t="str">
        <x:v>Morgan Reed</x:v>
      </x:c>
      <x:c r="K108" s="6" t="n">
        <x:v>46122</x:v>
      </x:c>
      <x:c r="L108" s="6" t="n">
        <x:v>46210</x:v>
      </x:c>
      <x:c r="M108" s="6" t="n">
        <x:v>46231</x:v>
      </x:c>
      <x:c r="N108" s="8" t="n">
        <x:v>43900</x:v>
      </x:c>
      <x:c r="O108" t="str">
        <x:v>Professional Services</x:v>
      </x:c>
      <x:c r="P108" t="str">
        <x:v>Yes</x:v>
      </x:c>
      <x:c r="Q108" t="str">
        <x:v>No</x:v>
      </x:c>
      <x:c r="R108" s="6"/>
      <x:c r="S108" t="str">
        <x:f>IF(E108="","Unique",IF(COUNTIF($E$2:E108,E108)&gt;1,"Duplicate","Unique"))</x:f>
        <x:v>Unique</x:v>
      </x:c>
      <x:c r="T108" t="str">
        <x:f>IF(J108="Unassigned","Yes","No")</x:f>
        <x:v>No</x:v>
      </x:c>
      <x:c r="U108" t="str">
        <x:f>IF(AND(E108="",F108=""),"Yes","No")</x:f>
        <x:v>No</x:v>
      </x:c>
      <x:c r="V108" t="str">
        <x:f>IF(AND('Dashboard'!$B$2-L108&gt;30,I108&lt;&gt;"Closed Won",I108&lt;&gt;"Closed Lost"),"Yes","No")</x:f>
        <x:v>Yes</x:v>
      </x:c>
      <x:c r="W108" t="str">
        <x:f>IF(AND(M108&lt;&gt;"",M108&lt;'Dashboard'!$B$2,I108&lt;&gt;"Closed Won",I108&lt;&gt;"Closed Lost"),"Yes","No")</x:f>
        <x:v>Yes</x:v>
      </x:c>
      <x:c r="X108" t="str">
        <x:f>IF(OR(S108="Duplicate",T108="Yes",U108="Yes",D108="Unknown",W108="Yes"),"Yes","No")</x:f>
        <x:v>Yes</x:v>
      </x:c>
      <x:c r="Y108" t="n">
        <x:f>IF(S108="Duplicate",0,1)</x:f>
        <x:v>1</x:v>
      </x:c>
    </x:row>
    <x:row r="109">
      <x:c r="A109" t="str">
        <x:v>L-0108</x:v>
      </x:c>
      <x:c r="B109" t="str">
        <x:v>Liam</x:v>
      </x:c>
      <x:c r="C109" t="str">
        <x:v>Davis</x:v>
      </x:c>
      <x:c r="D109" t="str">
        <x:v>Silverline Foods</x:v>
      </x:c>
      <x:c r="E109" t="str">
        <x:v>liam.davis29@prospect.co</x:v>
      </x:c>
      <x:c r="F109" t="str">
        <x:v>(782) 777-3328</x:v>
      </x:c>
      <x:c r="G109" t="str">
        <x:v>CA</x:v>
      </x:c>
      <x:c r="H109" t="str">
        <x:v>Website</x:v>
      </x:c>
      <x:c r="I109" t="str">
        <x:v>Qualified</x:v>
      </x:c>
      <x:c r="J109" t="str">
        <x:v>Alex Kim</x:v>
      </x:c>
      <x:c r="K109" s="6" t="n">
        <x:v>46040</x:v>
      </x:c>
      <x:c r="L109" s="6" t="n">
        <x:v>46228</x:v>
      </x:c>
      <x:c r="M109" s="6" t="n">
        <x:v>46253</x:v>
      </x:c>
      <x:c r="N109" s="8" t="n">
        <x:v>32100</x:v>
      </x:c>
      <x:c r="O109" t="str">
        <x:v>Biotech</x:v>
      </x:c>
      <x:c r="P109" t="str">
        <x:v>Yes</x:v>
      </x:c>
      <x:c r="Q109" t="str">
        <x:v>No</x:v>
      </x:c>
      <x:c r="R109" s="6"/>
      <x:c r="S109" t="str">
        <x:f>IF(E109="","Unique",IF(COUNTIF($E$2:E109,E109)&gt;1,"Duplicate","Unique"))</x:f>
        <x:v>Unique</x:v>
      </x:c>
      <x:c r="T109" t="str">
        <x:f>IF(J109="Unassigned","Yes","No")</x:f>
        <x:v>No</x:v>
      </x:c>
      <x:c r="U109" t="str">
        <x:f>IF(AND(E109="",F109=""),"Yes","No")</x:f>
        <x:v>No</x:v>
      </x:c>
      <x:c r="V109" t="str">
        <x:f>IF(AND('Dashboard'!$B$2-L109&gt;30,I109&lt;&gt;"Closed Won",I109&lt;&gt;"Closed Lost"),"Yes","No")</x:f>
        <x:v>No</x:v>
      </x:c>
      <x:c r="W109" t="str">
        <x:f>IF(AND(M109&lt;&gt;"",M109&lt;'Dashboard'!$B$2,I109&lt;&gt;"Closed Won",I109&lt;&gt;"Closed Lost"),"Yes","No")</x:f>
        <x:v>No</x:v>
      </x:c>
      <x:c r="X109" t="str">
        <x:f>IF(OR(S109="Duplicate",T109="Yes",U109="Yes",D109="Unknown",W109="Yes"),"Yes","No")</x:f>
        <x:v>No</x:v>
      </x:c>
      <x:c r="Y109" t="n">
        <x:f>IF(S109="Duplicate",0,1)</x:f>
        <x:v>1</x:v>
      </x:c>
    </x:row>
    <x:row r="110">
      <x:c r="A110" t="str">
        <x:v>L-0109</x:v>
      </x:c>
      <x:c r="B110" t="str">
        <x:v>Olivia</x:v>
      </x:c>
      <x:c r="C110" t="str">
        <x:v>Jones</x:v>
      </x:c>
      <x:c r="D110" t="str">
        <x:v>Redstone Consulting</x:v>
      </x:c>
      <x:c r="E110" t="str">
        <x:v>olivia.jones984@northmail.com</x:v>
      </x:c>
      <x:c r="F110" t="str">
        <x:v>(583) 921-7481</x:v>
      </x:c>
      <x:c r="G110" t="str">
        <x:v>IL</x:v>
      </x:c>
      <x:c r="H110" t="str">
        <x:v>Website</x:v>
      </x:c>
      <x:c r="I110" t="str">
        <x:v>New</x:v>
      </x:c>
      <x:c r="J110" t="str">
        <x:v>Casey Patel</x:v>
      </x:c>
      <x:c r="K110" s="6" t="n">
        <x:v>46066</x:v>
      </x:c>
      <x:c r="L110" s="6" t="n">
        <x:v>46102</x:v>
      </x:c>
      <x:c r="M110" s="6" t="n">
        <x:v>46108</x:v>
      </x:c>
      <x:c r="N110" s="8" t="n">
        <x:v>72300</x:v>
      </x:c>
      <x:c r="O110" t="str">
        <x:v>Manufacturing</x:v>
      </x:c>
      <x:c r="P110" t="str">
        <x:v>No</x:v>
      </x:c>
      <x:c r="Q110" t="str">
        <x:v>No</x:v>
      </x:c>
      <x:c r="R110" s="6"/>
      <x:c r="S110" t="str">
        <x:f>IF(E110="","Unique",IF(COUNTIF($E$2:E110,E110)&gt;1,"Duplicate","Unique"))</x:f>
        <x:v>Unique</x:v>
      </x:c>
      <x:c r="T110" t="str">
        <x:f>IF(J110="Unassigned","Yes","No")</x:f>
        <x:v>No</x:v>
      </x:c>
      <x:c r="U110" t="str">
        <x:f>IF(AND(E110="",F110=""),"Yes","No")</x:f>
        <x:v>No</x:v>
      </x:c>
      <x:c r="V110" t="str">
        <x:f>IF(AND('Dashboard'!$B$2-L110&gt;30,I110&lt;&gt;"Closed Won",I110&lt;&gt;"Closed Lost"),"Yes","No")</x:f>
        <x:v>Yes</x:v>
      </x:c>
      <x:c r="W110" t="str">
        <x:f>IF(AND(M110&lt;&gt;"",M110&lt;'Dashboard'!$B$2,I110&lt;&gt;"Closed Won",I110&lt;&gt;"Closed Lost"),"Yes","No")</x:f>
        <x:v>Yes</x:v>
      </x:c>
      <x:c r="X110" t="str">
        <x:f>IF(OR(S110="Duplicate",T110="Yes",U110="Yes",D110="Unknown",W110="Yes"),"Yes","No")</x:f>
        <x:v>Yes</x:v>
      </x:c>
      <x:c r="Y110" t="n">
        <x:f>IF(S110="Duplicate",0,1)</x:f>
        <x:v>1</x:v>
      </x:c>
    </x:row>
    <x:row r="111">
      <x:c r="A111" t="str">
        <x:v>L-0110</x:v>
      </x:c>
      <x:c r="B111" t="str">
        <x:v>Ethan</x:v>
      </x:c>
      <x:c r="C111" t="str">
        <x:v>Thomas</x:v>
      </x:c>
      <x:c r="D111" t="str">
        <x:v>Evergreen Services</x:v>
      </x:c>
      <x:c r="E111" t="str">
        <x:v>ethan.thomas34@examplebiz.com</x:v>
      </x:c>
      <x:c r="F111" t="str">
        <x:v>(817) 525-4619</x:v>
      </x:c>
      <x:c r="G111" t="str">
        <x:v>CA</x:v>
      </x:c>
      <x:c r="H111" t="str">
        <x:v>Website</x:v>
      </x:c>
      <x:c r="I111" t="str">
        <x:v>New</x:v>
      </x:c>
      <x:c r="J111" t="str">
        <x:v>Alex Kim</x:v>
      </x:c>
      <x:c r="K111" s="6" t="n">
        <x:v>46067</x:v>
      </x:c>
      <x:c r="L111" s="6" t="n">
        <x:v>46213</x:v>
      </x:c>
      <x:c r="M111" s="6" t="n">
        <x:v>46228</x:v>
      </x:c>
      <x:c r="N111" s="8" t="n">
        <x:v>72700</x:v>
      </x:c>
      <x:c r="O111" t="str">
        <x:v>Financial Services</x:v>
      </x:c>
      <x:c r="P111" t="str">
        <x:v>No</x:v>
      </x:c>
      <x:c r="Q111" t="str">
        <x:v>No</x:v>
      </x:c>
      <x:c r="R111" s="6"/>
      <x:c r="S111" t="str">
        <x:f>IF(E111="","Unique",IF(COUNTIF($E$2:E111,E111)&gt;1,"Duplicate","Unique"))</x:f>
        <x:v>Unique</x:v>
      </x:c>
      <x:c r="T111" t="str">
        <x:f>IF(J111="Unassigned","Yes","No")</x:f>
        <x:v>No</x:v>
      </x:c>
      <x:c r="U111" t="str">
        <x:f>IF(AND(E111="",F111=""),"Yes","No")</x:f>
        <x:v>No</x:v>
      </x:c>
      <x:c r="V111" t="str">
        <x:f>IF(AND('Dashboard'!$B$2-L111&gt;30,I111&lt;&gt;"Closed Won",I111&lt;&gt;"Closed Lost"),"Yes","No")</x:f>
        <x:v>Yes</x:v>
      </x:c>
      <x:c r="W111" t="str">
        <x:f>IF(AND(M111&lt;&gt;"",M111&lt;'Dashboard'!$B$2,I111&lt;&gt;"Closed Won",I111&lt;&gt;"Closed Lost"),"Yes","No")</x:f>
        <x:v>Yes</x:v>
      </x:c>
      <x:c r="X111" t="str">
        <x:f>IF(OR(S111="Duplicate",T111="Yes",U111="Yes",D111="Unknown",W111="Yes"),"Yes","No")</x:f>
        <x:v>Yes</x:v>
      </x:c>
      <x:c r="Y111" t="n">
        <x:f>IF(S111="Duplicate",0,1)</x:f>
        <x:v>1</x:v>
      </x:c>
    </x:row>
    <x:row r="112">
      <x:c r="A112" t="str">
        <x:v>L-0111</x:v>
      </x:c>
      <x:c r="B112" t="str">
        <x:v>Olivia</x:v>
      </x:c>
      <x:c r="C112" t="str">
        <x:v>Davis</x:v>
      </x:c>
      <x:c r="D112" t="str">
        <x:v>Brightpath Health</x:v>
      </x:c>
      <x:c r="E112" t="str">
        <x:v>olivia.davis906@mailhub.net</x:v>
      </x:c>
      <x:c r="F112" t="str">
        <x:v>(705) 587-6754</x:v>
      </x:c>
      <x:c r="G112" t="str">
        <x:v>NY</x:v>
      </x:c>
      <x:c r="H112" t="str">
        <x:v>Email Campaign</x:v>
      </x:c>
      <x:c r="I112" t="str">
        <x:v>Opportunity</x:v>
      </x:c>
      <x:c r="J112" t="str">
        <x:v>Taylor Morgan</x:v>
      </x:c>
      <x:c r="K112" s="6" t="n">
        <x:v>46234</x:v>
      </x:c>
      <x:c r="L112" s="6" t="n">
        <x:v>46246</x:v>
      </x:c>
      <x:c r="M112" s="6" t="n">
        <x:v>46263</x:v>
      </x:c>
      <x:c r="N112" s="8" t="n">
        <x:v>62900</x:v>
      </x:c>
      <x:c r="O112" t="str">
        <x:v>Biotech</x:v>
      </x:c>
      <x:c r="P112" t="str">
        <x:v>Yes</x:v>
      </x:c>
      <x:c r="Q112" t="str">
        <x:v>No</x:v>
      </x:c>
      <x:c r="R112" s="6"/>
      <x:c r="S112" t="str">
        <x:f>IF(E112="","Unique",IF(COUNTIF($E$2:E112,E112)&gt;1,"Duplicate","Unique"))</x:f>
        <x:v>Unique</x:v>
      </x:c>
      <x:c r="T112" t="str">
        <x:f>IF(J112="Unassigned","Yes","No")</x:f>
        <x:v>No</x:v>
      </x:c>
      <x:c r="U112" t="str">
        <x:f>IF(AND(E112="",F112=""),"Yes","No")</x:f>
        <x:v>No</x:v>
      </x:c>
      <x:c r="V112" t="str">
        <x:f>IF(AND('Dashboard'!$B$2-L112&gt;30,I112&lt;&gt;"Closed Won",I112&lt;&gt;"Closed Lost"),"Yes","No")</x:f>
        <x:v>No</x:v>
      </x:c>
      <x:c r="W112" t="str">
        <x:f>IF(AND(M112&lt;&gt;"",M112&lt;'Dashboard'!$B$2,I112&lt;&gt;"Closed Won",I112&lt;&gt;"Closed Lost"),"Yes","No")</x:f>
        <x:v>No</x:v>
      </x:c>
      <x:c r="X112" t="str">
        <x:f>IF(OR(S112="Duplicate",T112="Yes",U112="Yes",D112="Unknown",W112="Yes"),"Yes","No")</x:f>
        <x:v>No</x:v>
      </x:c>
      <x:c r="Y112" t="n">
        <x:f>IF(S112="Duplicate",0,1)</x:f>
        <x:v>1</x:v>
      </x:c>
    </x:row>
    <x:row r="113">
      <x:c r="A113" t="str">
        <x:v>L-0112</x:v>
      </x:c>
      <x:c r="B113" t="str">
        <x:v>Amelia</x:v>
      </x:c>
      <x:c r="C113" t="str">
        <x:v>Garcia</x:v>
      </x:c>
      <x:c r="D113" t="str">
        <x:v>Brightpath Health</x:v>
      </x:c>
      <x:c r="E113" t="str">
        <x:v>amelia.garcia622@mailhub.net</x:v>
      </x:c>
      <x:c r="F113" t="str">
        <x:v>(361) 254-2659</x:v>
      </x:c>
      <x:c r="G113" t="str">
        <x:v>IL</x:v>
      </x:c>
      <x:c r="H113" t="str">
        <x:v>Trade Show</x:v>
      </x:c>
      <x:c r="I113" t="str">
        <x:v>Opportunity</x:v>
      </x:c>
      <x:c r="J113" t="str">
        <x:v>Taylor Morgan</x:v>
      </x:c>
      <x:c r="K113" s="6" t="n">
        <x:v>46123</x:v>
      </x:c>
      <x:c r="L113" s="6" t="n">
        <x:v>46130</x:v>
      </x:c>
      <x:c r="M113" s="6" t="n">
        <x:v>46146</x:v>
      </x:c>
      <x:c r="N113" s="8" t="n">
        <x:v>80300</x:v>
      </x:c>
      <x:c r="O113" t="str">
        <x:v>Technology</x:v>
      </x:c>
      <x:c r="P113" t="str">
        <x:v>Yes</x:v>
      </x:c>
      <x:c r="Q113" t="str">
        <x:v>No</x:v>
      </x:c>
      <x:c r="R113" s="6"/>
      <x:c r="S113" t="str">
        <x:f>IF(E113="","Unique",IF(COUNTIF($E$2:E113,E113)&gt;1,"Duplicate","Unique"))</x:f>
        <x:v>Unique</x:v>
      </x:c>
      <x:c r="T113" t="str">
        <x:f>IF(J113="Unassigned","Yes","No")</x:f>
        <x:v>No</x:v>
      </x:c>
      <x:c r="U113" t="str">
        <x:f>IF(AND(E113="",F113=""),"Yes","No")</x:f>
        <x:v>No</x:v>
      </x:c>
      <x:c r="V113" t="str">
        <x:f>IF(AND('Dashboard'!$B$2-L113&gt;30,I113&lt;&gt;"Closed Won",I113&lt;&gt;"Closed Lost"),"Yes","No")</x:f>
        <x:v>Yes</x:v>
      </x:c>
      <x:c r="W113" t="str">
        <x:f>IF(AND(M113&lt;&gt;"",M113&lt;'Dashboard'!$B$2,I113&lt;&gt;"Closed Won",I113&lt;&gt;"Closed Lost"),"Yes","No")</x:f>
        <x:v>Yes</x:v>
      </x:c>
      <x:c r="X113" t="str">
        <x:f>IF(OR(S113="Duplicate",T113="Yes",U113="Yes",D113="Unknown",W113="Yes"),"Yes","No")</x:f>
        <x:v>Yes</x:v>
      </x:c>
      <x:c r="Y113" t="n">
        <x:f>IF(S113="Duplicate",0,1)</x:f>
        <x:v>1</x:v>
      </x:c>
    </x:row>
    <x:row r="114">
      <x:c r="A114" t="str">
        <x:v>L-0113</x:v>
      </x:c>
      <x:c r="B114" t="str">
        <x:v>Ava</x:v>
      </x:c>
      <x:c r="C114" t="str">
        <x:v>Taylor</x:v>
      </x:c>
      <x:c r="D114" t="str">
        <x:v>Brightpath Health</x:v>
      </x:c>
      <x:c r="E114" t="str">
        <x:v>ava.taylor84@mailhub.net</x:v>
      </x:c>
      <x:c r="F114" t="str">
        <x:v>(319) 515-7512</x:v>
      </x:c>
      <x:c r="G114" t="str">
        <x:v>OH</x:v>
      </x:c>
      <x:c r="H114" t="str">
        <x:v>Trade Show</x:v>
      </x:c>
      <x:c r="I114" t="str">
        <x:v>Qualified</x:v>
      </x:c>
      <x:c r="J114" t="str">
        <x:v>Casey Patel</x:v>
      </x:c>
      <x:c r="K114" s="6" t="n">
        <x:v>46222</x:v>
      </x:c>
      <x:c r="L114" s="6" t="n">
        <x:v>46222</x:v>
      </x:c>
      <x:c r="M114" s="6" t="n">
        <x:v>46231</x:v>
      </x:c>
      <x:c r="N114" s="8" t="n">
        <x:v>16600</x:v>
      </x:c>
      <x:c r="O114" t="str">
        <x:v>Financial Services</x:v>
      </x:c>
      <x:c r="P114" t="str">
        <x:v>Yes</x:v>
      </x:c>
      <x:c r="Q114" t="str">
        <x:v>No</x:v>
      </x:c>
      <x:c r="R114" s="6"/>
      <x:c r="S114" t="str">
        <x:f>IF(E114="","Unique",IF(COUNTIF($E$2:E114,E114)&gt;1,"Duplicate","Unique"))</x:f>
        <x:v>Unique</x:v>
      </x:c>
      <x:c r="T114" t="str">
        <x:f>IF(J114="Unassigned","Yes","No")</x:f>
        <x:v>No</x:v>
      </x:c>
      <x:c r="U114" t="str">
        <x:f>IF(AND(E114="",F114=""),"Yes","No")</x:f>
        <x:v>No</x:v>
      </x:c>
      <x:c r="V114" t="str">
        <x:f>IF(AND('Dashboard'!$B$2-L114&gt;30,I114&lt;&gt;"Closed Won",I114&lt;&gt;"Closed Lost"),"Yes","No")</x:f>
        <x:v>No</x:v>
      </x:c>
      <x:c r="W114" t="str">
        <x:f>IF(AND(M114&lt;&gt;"",M114&lt;'Dashboard'!$B$2,I114&lt;&gt;"Closed Won",I114&lt;&gt;"Closed Lost"),"Yes","No")</x:f>
        <x:v>Yes</x:v>
      </x:c>
      <x:c r="X114" t="str">
        <x:f>IF(OR(S114="Duplicate",T114="Yes",U114="Yes",D114="Unknown",W114="Yes"),"Yes","No")</x:f>
        <x:v>Yes</x:v>
      </x:c>
      <x:c r="Y114" t="n">
        <x:f>IF(S114="Duplicate",0,1)</x:f>
        <x:v>1</x:v>
      </x:c>
    </x:row>
    <x:row r="115">
      <x:c r="A115" t="str">
        <x:v>L-0114</x:v>
      </x:c>
      <x:c r="B115" t="str">
        <x:v>Noah</x:v>
      </x:c>
      <x:c r="C115" t="str">
        <x:v>Williams</x:v>
      </x:c>
      <x:c r="D115" t="str">
        <x:v>Pioneer Tech</x:v>
      </x:c>
      <x:c r="E115" t="str">
        <x:v>noah.williams704@mailhub.net</x:v>
      </x:c>
      <x:c r="F115" t="str"/>
      <x:c r="G115" t="str">
        <x:v>WA</x:v>
      </x:c>
      <x:c r="H115" t="str">
        <x:v>Website</x:v>
      </x:c>
      <x:c r="I115" t="str">
        <x:v>New</x:v>
      </x:c>
      <x:c r="J115" t="str">
        <x:v>Alex Kim</x:v>
      </x:c>
      <x:c r="K115" s="6" t="n">
        <x:v>46147</x:v>
      </x:c>
      <x:c r="L115" s="6" t="n">
        <x:v>46251</x:v>
      </x:c>
      <x:c r="M115" s="6" t="n">
        <x:v>46270</x:v>
      </x:c>
      <x:c r="N115" s="8" t="n">
        <x:v>37000</x:v>
      </x:c>
      <x:c r="O115" t="str">
        <x:v>Professional Services</x:v>
      </x:c>
      <x:c r="P115" t="str">
        <x:v>No</x:v>
      </x:c>
      <x:c r="Q115" t="str">
        <x:v>No</x:v>
      </x:c>
      <x:c r="R115" s="6"/>
      <x:c r="S115" t="str">
        <x:f>IF(E115="","Unique",IF(COUNTIF($E$2:E115,E115)&gt;1,"Duplicate","Unique"))</x:f>
        <x:v>Unique</x:v>
      </x:c>
      <x:c r="T115" t="str">
        <x:f>IF(J115="Unassigned","Yes","No")</x:f>
        <x:v>No</x:v>
      </x:c>
      <x:c r="U115" t="str">
        <x:f>IF(AND(E115="",F115=""),"Yes","No")</x:f>
        <x:v>No</x:v>
      </x:c>
      <x:c r="V115" t="str">
        <x:f>IF(AND('Dashboard'!$B$2-L115&gt;30,I115&lt;&gt;"Closed Won",I115&lt;&gt;"Closed Lost"),"Yes","No")</x:f>
        <x:v>No</x:v>
      </x:c>
      <x:c r="W115" t="str">
        <x:f>IF(AND(M115&lt;&gt;"",M115&lt;'Dashboard'!$B$2,I115&lt;&gt;"Closed Won",I115&lt;&gt;"Closed Lost"),"Yes","No")</x:f>
        <x:v>No</x:v>
      </x:c>
      <x:c r="X115" t="str">
        <x:f>IF(OR(S115="Duplicate",T115="Yes",U115="Yes",D115="Unknown",W115="Yes"),"Yes","No")</x:f>
        <x:v>No</x:v>
      </x:c>
      <x:c r="Y115" t="n">
        <x:f>IF(S115="Duplicate",0,1)</x:f>
        <x:v>1</x:v>
      </x:c>
    </x:row>
    <x:row r="116">
      <x:c r="A116" t="str">
        <x:v>L-0115</x:v>
      </x:c>
      <x:c r="B116" t="str">
        <x:v>Emma</x:v>
      </x:c>
      <x:c r="C116" t="str">
        <x:v>Johnson</x:v>
      </x:c>
      <x:c r="D116" t="str">
        <x:v>Vertex Solutions</x:v>
      </x:c>
      <x:c r="E116" t="str">
        <x:v>emma.johnson328@northmail.com</x:v>
      </x:c>
      <x:c r="F116" t="str">
        <x:v>(290) 597-7510</x:v>
      </x:c>
      <x:c r="G116" t="str">
        <x:v>OH</x:v>
      </x:c>
      <x:c r="H116" t="str">
        <x:v>Webinar</x:v>
      </x:c>
      <x:c r="I116" t="str">
        <x:v>Closed Lost</x:v>
      </x:c>
      <x:c r="J116" t="str">
        <x:v>Casey Patel</x:v>
      </x:c>
      <x:c r="K116" s="6" t="n">
        <x:v>46086</x:v>
      </x:c>
      <x:c r="L116" s="6" t="n">
        <x:v>46123</x:v>
      </x:c>
      <x:c r="M116" s="6"/>
      <x:c r="N116" s="8" t="n">
        <x:v>71300</x:v>
      </x:c>
      <x:c r="O116" t="str">
        <x:v>Technology</x:v>
      </x:c>
      <x:c r="P116" t="str">
        <x:v>Yes</x:v>
      </x:c>
      <x:c r="Q116" t="str">
        <x:v>No</x:v>
      </x:c>
      <x:c r="R116" s="6" t="n">
        <x:v>46131</x:v>
      </x:c>
      <x:c r="S116" t="str">
        <x:f>IF(E116="","Unique",IF(COUNTIF($E$2:E116,E116)&gt;1,"Duplicate","Unique"))</x:f>
        <x:v>Unique</x:v>
      </x:c>
      <x:c r="T116" t="str">
        <x:f>IF(J116="Unassigned","Yes","No")</x:f>
        <x:v>No</x:v>
      </x:c>
      <x:c r="U116" t="str">
        <x:f>IF(AND(E116="",F116=""),"Yes","No")</x:f>
        <x:v>No</x:v>
      </x:c>
      <x:c r="V116" t="str">
        <x:f>IF(AND('Dashboard'!$B$2-L116&gt;30,I116&lt;&gt;"Closed Won",I116&lt;&gt;"Closed Lost"),"Yes","No")</x:f>
        <x:v>No</x:v>
      </x:c>
      <x:c r="W116" t="str">
        <x:f>IF(AND(M116&lt;&gt;"",M116&lt;'Dashboard'!$B$2,I116&lt;&gt;"Closed Won",I116&lt;&gt;"Closed Lost"),"Yes","No")</x:f>
        <x:v>No</x:v>
      </x:c>
      <x:c r="X116" t="str">
        <x:f>IF(OR(S116="Duplicate",T116="Yes",U116="Yes",D116="Unknown",W116="Yes"),"Yes","No")</x:f>
        <x:v>No</x:v>
      </x:c>
      <x:c r="Y116" t="n">
        <x:f>IF(S116="Duplicate",0,1)</x:f>
        <x:v>1</x:v>
      </x:c>
    </x:row>
    <x:row r="117">
      <x:c r="A117" t="str">
        <x:v>L-0116</x:v>
      </x:c>
      <x:c r="B117" t="str">
        <x:v>Noah</x:v>
      </x:c>
      <x:c r="C117" t="str">
        <x:v>Martinez</x:v>
      </x:c>
      <x:c r="D117" t="str">
        <x:v>Pioneer Tech</x:v>
      </x:c>
      <x:c r="E117" t="str">
        <x:v>noah.martinez148@mailhub.net</x:v>
      </x:c>
      <x:c r="F117" t="str">
        <x:v>(240) 605-6431</x:v>
      </x:c>
      <x:c r="G117" t="str">
        <x:v>NY</x:v>
      </x:c>
      <x:c r="H117" t="str">
        <x:v>Referral</x:v>
      </x:c>
      <x:c r="I117" t="str">
        <x:v>Qualified</x:v>
      </x:c>
      <x:c r="J117" t="str">
        <x:v>Unassigned</x:v>
      </x:c>
      <x:c r="K117" s="6" t="n">
        <x:v>46091</x:v>
      </x:c>
      <x:c r="L117" s="6" t="n">
        <x:v>46212</x:v>
      </x:c>
      <x:c r="M117" s="6" t="n">
        <x:v>46216</x:v>
      </x:c>
      <x:c r="N117" s="8" t="n">
        <x:v>16700</x:v>
      </x:c>
      <x:c r="O117" t="str">
        <x:v>Professional Services</x:v>
      </x:c>
      <x:c r="P117" t="str">
        <x:v>Yes</x:v>
      </x:c>
      <x:c r="Q117" t="str">
        <x:v>No</x:v>
      </x:c>
      <x:c r="R117" s="6"/>
      <x:c r="S117" t="str">
        <x:f>IF(E117="","Unique",IF(COUNTIF($E$2:E117,E117)&gt;1,"Duplicate","Unique"))</x:f>
        <x:v>Unique</x:v>
      </x:c>
      <x:c r="T117" t="str">
        <x:f>IF(J117="Unassigned","Yes","No")</x:f>
        <x:v>Yes</x:v>
      </x:c>
      <x:c r="U117" t="str">
        <x:f>IF(AND(E117="",F117=""),"Yes","No")</x:f>
        <x:v>No</x:v>
      </x:c>
      <x:c r="V117" t="str">
        <x:f>IF(AND('Dashboard'!$B$2-L117&gt;30,I117&lt;&gt;"Closed Won",I117&lt;&gt;"Closed Lost"),"Yes","No")</x:f>
        <x:v>Yes</x:v>
      </x:c>
      <x:c r="W117" t="str">
        <x:f>IF(AND(M117&lt;&gt;"",M117&lt;'Dashboard'!$B$2,I117&lt;&gt;"Closed Won",I117&lt;&gt;"Closed Lost"),"Yes","No")</x:f>
        <x:v>Yes</x:v>
      </x:c>
      <x:c r="X117" t="str">
        <x:f>IF(OR(S117="Duplicate",T117="Yes",U117="Yes",D117="Unknown",W117="Yes"),"Yes","No")</x:f>
        <x:v>Yes</x:v>
      </x:c>
      <x:c r="Y117" t="n">
        <x:f>IF(S117="Duplicate",0,1)</x:f>
        <x:v>1</x:v>
      </x:c>
    </x:row>
    <x:row r="118">
      <x:c r="A118" t="str">
        <x:v>L-0117</x:v>
      </x:c>
      <x:c r="B118" t="str">
        <x:v>Lucas</x:v>
      </x:c>
      <x:c r="C118" t="str">
        <x:v>Moore</x:v>
      </x:c>
      <x:c r="D118" t="str">
        <x:v>Redstone Consulting</x:v>
      </x:c>
      <x:c r="E118" t="str">
        <x:v>lucas.moore759@mailhub.net</x:v>
      </x:c>
      <x:c r="F118" t="str">
        <x:v>(978) 728-7126</x:v>
      </x:c>
      <x:c r="G118" t="str">
        <x:v>PA</x:v>
      </x:c>
      <x:c r="H118" t="str">
        <x:v>Referral</x:v>
      </x:c>
      <x:c r="I118" t="str">
        <x:v>Opportunity</x:v>
      </x:c>
      <x:c r="J118" t="str">
        <x:v>Morgan Reed</x:v>
      </x:c>
      <x:c r="K118" s="6" t="n">
        <x:v>46198</x:v>
      </x:c>
      <x:c r="L118" s="6" t="n">
        <x:v>46226</x:v>
      </x:c>
      <x:c r="M118" s="6" t="n">
        <x:v>46235</x:v>
      </x:c>
      <x:c r="N118" s="8" t="n">
        <x:v>77900</x:v>
      </x:c>
      <x:c r="O118" t="str">
        <x:v>Financial Services</x:v>
      </x:c>
      <x:c r="P118" t="str">
        <x:v>Yes</x:v>
      </x:c>
      <x:c r="Q118" t="str">
        <x:v>No</x:v>
      </x:c>
      <x:c r="R118" s="6"/>
      <x:c r="S118" t="str">
        <x:f>IF(E118="","Unique",IF(COUNTIF($E$2:E118,E118)&gt;1,"Duplicate","Unique"))</x:f>
        <x:v>Unique</x:v>
      </x:c>
      <x:c r="T118" t="str">
        <x:f>IF(J118="Unassigned","Yes","No")</x:f>
        <x:v>No</x:v>
      </x:c>
      <x:c r="U118" t="str">
        <x:f>IF(AND(E118="",F118=""),"Yes","No")</x:f>
        <x:v>No</x:v>
      </x:c>
      <x:c r="V118" t="str">
        <x:f>IF(AND('Dashboard'!$B$2-L118&gt;30,I118&lt;&gt;"Closed Won",I118&lt;&gt;"Closed Lost"),"Yes","No")</x:f>
        <x:v>No</x:v>
      </x:c>
      <x:c r="W118" t="str">
        <x:f>IF(AND(M118&lt;&gt;"",M118&lt;'Dashboard'!$B$2,I118&lt;&gt;"Closed Won",I118&lt;&gt;"Closed Lost"),"Yes","No")</x:f>
        <x:v>Yes</x:v>
      </x:c>
      <x:c r="X118" t="str">
        <x:f>IF(OR(S118="Duplicate",T118="Yes",U118="Yes",D118="Unknown",W118="Yes"),"Yes","No")</x:f>
        <x:v>Yes</x:v>
      </x:c>
      <x:c r="Y118" t="n">
        <x:f>IF(S118="Duplicate",0,1)</x:f>
        <x:v>1</x:v>
      </x:c>
    </x:row>
    <x:row r="119">
      <x:c r="A119" t="str">
        <x:v>L-0118</x:v>
      </x:c>
      <x:c r="B119" t="str">
        <x:v>Liam</x:v>
      </x:c>
      <x:c r="C119" t="str">
        <x:v>Anderson</x:v>
      </x:c>
      <x:c r="D119" t="str">
        <x:v>Apex Manufacturing</x:v>
      </x:c>
      <x:c r="E119" t="str">
        <x:v>logan.moore73@northmail.com</x:v>
      </x:c>
      <x:c r="F119" t="str">
        <x:v>(382) 685-6730</x:v>
      </x:c>
      <x:c r="G119" t="str">
        <x:v>IL</x:v>
      </x:c>
      <x:c r="H119" t="str">
        <x:v>Email Campaign</x:v>
      </x:c>
      <x:c r="I119" t="str">
        <x:v>Qualified</x:v>
      </x:c>
      <x:c r="J119" t="str">
        <x:v>Casey Patel</x:v>
      </x:c>
      <x:c r="K119" s="6" t="n">
        <x:v>46084</x:v>
      </x:c>
      <x:c r="L119" s="6" t="n">
        <x:v>46115</x:v>
      </x:c>
      <x:c r="M119" s="6" t="n">
        <x:v>46139</x:v>
      </x:c>
      <x:c r="N119" s="8" t="n">
        <x:v>5000</x:v>
      </x:c>
      <x:c r="O119" t="str">
        <x:v>Financial Services</x:v>
      </x:c>
      <x:c r="P119" t="str">
        <x:v>Yes</x:v>
      </x:c>
      <x:c r="Q119" t="str">
        <x:v>No</x:v>
      </x:c>
      <x:c r="R119" s="6"/>
      <x:c r="S119" t="str">
        <x:f>IF(E119="","Unique",IF(COUNTIF($E$2:E119,E119)&gt;1,"Duplicate","Unique"))</x:f>
        <x:v>Duplicate</x:v>
      </x:c>
      <x:c r="T119" t="str">
        <x:f>IF(J119="Unassigned","Yes","No")</x:f>
        <x:v>No</x:v>
      </x:c>
      <x:c r="U119" t="str">
        <x:f>IF(AND(E119="",F119=""),"Yes","No")</x:f>
        <x:v>No</x:v>
      </x:c>
      <x:c r="V119" t="str">
        <x:f>IF(AND('Dashboard'!$B$2-L119&gt;30,I119&lt;&gt;"Closed Won",I119&lt;&gt;"Closed Lost"),"Yes","No")</x:f>
        <x:v>Yes</x:v>
      </x:c>
      <x:c r="W119" t="str">
        <x:f>IF(AND(M119&lt;&gt;"",M119&lt;'Dashboard'!$B$2,I119&lt;&gt;"Closed Won",I119&lt;&gt;"Closed Lost"),"Yes","No")</x:f>
        <x:v>Yes</x:v>
      </x:c>
      <x:c r="X119" t="str">
        <x:f>IF(OR(S119="Duplicate",T119="Yes",U119="Yes",D119="Unknown",W119="Yes"),"Yes","No")</x:f>
        <x:v>Yes</x:v>
      </x:c>
      <x:c r="Y119" t="n">
        <x:f>IF(S119="Duplicate",0,1)</x:f>
        <x:v>0</x:v>
      </x:c>
    </x:row>
    <x:row r="120">
      <x:c r="A120" t="str">
        <x:v>L-0119</x:v>
      </x:c>
      <x:c r="B120" t="str">
        <x:v>Evelyn</x:v>
      </x:c>
      <x:c r="C120" t="str">
        <x:v>Smith</x:v>
      </x:c>
      <x:c r="D120" t="str">
        <x:v>Northstar Labs</x:v>
      </x:c>
      <x:c r="E120" t="str">
        <x:v>evelyn.smith730@prospect.co</x:v>
      </x:c>
      <x:c r="F120" t="str">
        <x:v>(634) 585-6713</x:v>
      </x:c>
      <x:c r="G120" t="str">
        <x:v>CA</x:v>
      </x:c>
      <x:c r="H120" t="str">
        <x:v>LinkedIn</x:v>
      </x:c>
      <x:c r="I120" t="str">
        <x:v>Opportunity</x:v>
      </x:c>
      <x:c r="J120" t="str">
        <x:v>Casey Patel</x:v>
      </x:c>
      <x:c r="K120" s="6" t="n">
        <x:v>46244</x:v>
      </x:c>
      <x:c r="L120" s="6" t="n">
        <x:v>46247</x:v>
      </x:c>
      <x:c r="M120" s="6" t="n">
        <x:v>46258</x:v>
      </x:c>
      <x:c r="N120" s="8" t="n">
        <x:v>52700</x:v>
      </x:c>
      <x:c r="O120" t="str">
        <x:v>Logistics</x:v>
      </x:c>
      <x:c r="P120" t="str">
        <x:v>Yes</x:v>
      </x:c>
      <x:c r="Q120" t="str">
        <x:v>No</x:v>
      </x:c>
      <x:c r="R120" s="6"/>
      <x:c r="S120" t="str">
        <x:f>IF(E120="","Unique",IF(COUNTIF($E$2:E120,E120)&gt;1,"Duplicate","Unique"))</x:f>
        <x:v>Unique</x:v>
      </x:c>
      <x:c r="T120" t="str">
        <x:f>IF(J120="Unassigned","Yes","No")</x:f>
        <x:v>No</x:v>
      </x:c>
      <x:c r="U120" t="str">
        <x:f>IF(AND(E120="",F120=""),"Yes","No")</x:f>
        <x:v>No</x:v>
      </x:c>
      <x:c r="V120" t="str">
        <x:f>IF(AND('Dashboard'!$B$2-L120&gt;30,I120&lt;&gt;"Closed Won",I120&lt;&gt;"Closed Lost"),"Yes","No")</x:f>
        <x:v>No</x:v>
      </x:c>
      <x:c r="W120" t="str">
        <x:f>IF(AND(M120&lt;&gt;"",M120&lt;'Dashboard'!$B$2,I120&lt;&gt;"Closed Won",I120&lt;&gt;"Closed Lost"),"Yes","No")</x:f>
        <x:v>No</x:v>
      </x:c>
      <x:c r="X120" t="str">
        <x:f>IF(OR(S120="Duplicate",T120="Yes",U120="Yes",D120="Unknown",W120="Yes"),"Yes","No")</x:f>
        <x:v>No</x:v>
      </x:c>
      <x:c r="Y120" t="n">
        <x:f>IF(S120="Duplicate",0,1)</x:f>
        <x:v>1</x:v>
      </x:c>
    </x:row>
    <x:row r="121">
      <x:c r="A121" t="str">
        <x:v>L-0120</x:v>
      </x:c>
      <x:c r="B121" t="str">
        <x:v>Benjamin</x:v>
      </x:c>
      <x:c r="C121" t="str">
        <x:v>Williams</x:v>
      </x:c>
      <x:c r="D121" t="str">
        <x:v>Redstone Consulting</x:v>
      </x:c>
      <x:c r="E121" t="str">
        <x:v>benjamin.williams784@examplebiz.com</x:v>
      </x:c>
      <x:c r="F121" t="str">
        <x:v>(259) 814-7620</x:v>
      </x:c>
      <x:c r="G121" t="str">
        <x:v>OH</x:v>
      </x:c>
      <x:c r="H121" t="str">
        <x:v>Referral</x:v>
      </x:c>
      <x:c r="I121" t="str">
        <x:v>Contacted</x:v>
      </x:c>
      <x:c r="J121" t="str">
        <x:v>Alex Kim</x:v>
      </x:c>
      <x:c r="K121" s="6" t="n">
        <x:v>46079</x:v>
      </x:c>
      <x:c r="L121" s="6" t="n">
        <x:v>46245</x:v>
      </x:c>
      <x:c r="M121" s="6" t="n">
        <x:v>46257</x:v>
      </x:c>
      <x:c r="N121" s="8" t="n">
        <x:v>18000</x:v>
      </x:c>
      <x:c r="O121" t="str">
        <x:v>Financial Services</x:v>
      </x:c>
      <x:c r="P121" t="str">
        <x:v>No</x:v>
      </x:c>
      <x:c r="Q121" t="str">
        <x:v>No</x:v>
      </x:c>
      <x:c r="R121" s="6"/>
      <x:c r="S121" t="str">
        <x:f>IF(E121="","Unique",IF(COUNTIF($E$2:E121,E121)&gt;1,"Duplicate","Unique"))</x:f>
        <x:v>Unique</x:v>
      </x:c>
      <x:c r="T121" t="str">
        <x:f>IF(J121="Unassigned","Yes","No")</x:f>
        <x:v>No</x:v>
      </x:c>
      <x:c r="U121" t="str">
        <x:f>IF(AND(E121="",F121=""),"Yes","No")</x:f>
        <x:v>No</x:v>
      </x:c>
      <x:c r="V121" t="str">
        <x:f>IF(AND('Dashboard'!$B$2-L121&gt;30,I121&lt;&gt;"Closed Won",I121&lt;&gt;"Closed Lost"),"Yes","No")</x:f>
        <x:v>No</x:v>
      </x:c>
      <x:c r="W121" t="str">
        <x:f>IF(AND(M121&lt;&gt;"",M121&lt;'Dashboard'!$B$2,I121&lt;&gt;"Closed Won",I121&lt;&gt;"Closed Lost"),"Yes","No")</x:f>
        <x:v>No</x:v>
      </x:c>
      <x:c r="X121" t="str">
        <x:f>IF(OR(S121="Duplicate",T121="Yes",U121="Yes",D121="Unknown",W121="Yes"),"Yes","No")</x:f>
        <x:v>No</x:v>
      </x:c>
      <x:c r="Y121" t="n">
        <x:f>IF(S121="Duplicate",0,1)</x:f>
        <x:v>1</x:v>
      </x:c>
    </x:row>
    <x:row r="122">
      <x:c r="A122" t="str">
        <x:v>L-0121</x:v>
      </x:c>
      <x:c r="B122" t="str">
        <x:v>Mason</x:v>
      </x:c>
      <x:c r="C122" t="str">
        <x:v>Lee</x:v>
      </x:c>
      <x:c r="D122" t="str">
        <x:v>Atlas Commerce</x:v>
      </x:c>
      <x:c r="E122" t="str">
        <x:v>mason.lee132@prospect.co</x:v>
      </x:c>
      <x:c r="F122" t="str">
        <x:v>(943) 772-3999</x:v>
      </x:c>
      <x:c r="G122" t="str">
        <x:v>GA</x:v>
      </x:c>
      <x:c r="H122" t="str">
        <x:v>Referral</x:v>
      </x:c>
      <x:c r="I122" t="str">
        <x:v>New</x:v>
      </x:c>
      <x:c r="J122" t="str">
        <x:v>Morgan Reed</x:v>
      </x:c>
      <x:c r="K122" s="6" t="n">
        <x:v>46078</x:v>
      </x:c>
      <x:c r="L122" s="6" t="n">
        <x:v>46220</x:v>
      </x:c>
      <x:c r="M122" s="6" t="n">
        <x:v>46228</x:v>
      </x:c>
      <x:c r="N122" s="8" t="n">
        <x:v>26700</x:v>
      </x:c>
      <x:c r="O122" t="str">
        <x:v>Biotech</x:v>
      </x:c>
      <x:c r="P122" t="str">
        <x:v>No</x:v>
      </x:c>
      <x:c r="Q122" t="str">
        <x:v>No</x:v>
      </x:c>
      <x:c r="R122" s="6"/>
      <x:c r="S122" t="str">
        <x:f>IF(E122="","Unique",IF(COUNTIF($E$2:E122,E122)&gt;1,"Duplicate","Unique"))</x:f>
        <x:v>Unique</x:v>
      </x:c>
      <x:c r="T122" t="str">
        <x:f>IF(J122="Unassigned","Yes","No")</x:f>
        <x:v>No</x:v>
      </x:c>
      <x:c r="U122" t="str">
        <x:f>IF(AND(E122="",F122=""),"Yes","No")</x:f>
        <x:v>No</x:v>
      </x:c>
      <x:c r="V122" t="str">
        <x:f>IF(AND('Dashboard'!$B$2-L122&gt;30,I122&lt;&gt;"Closed Won",I122&lt;&gt;"Closed Lost"),"Yes","No")</x:f>
        <x:v>Yes</x:v>
      </x:c>
      <x:c r="W122" t="str">
        <x:f>IF(AND(M122&lt;&gt;"",M122&lt;'Dashboard'!$B$2,I122&lt;&gt;"Closed Won",I122&lt;&gt;"Closed Lost"),"Yes","No")</x:f>
        <x:v>Yes</x:v>
      </x:c>
      <x:c r="X122" t="str">
        <x:f>IF(OR(S122="Duplicate",T122="Yes",U122="Yes",D122="Unknown",W122="Yes"),"Yes","No")</x:f>
        <x:v>Yes</x:v>
      </x:c>
      <x:c r="Y122" t="n">
        <x:f>IF(S122="Duplicate",0,1)</x:f>
        <x:v>1</x:v>
      </x:c>
    </x:row>
    <x:row r="123">
      <x:c r="A123" t="str">
        <x:v>L-0122</x:v>
      </x:c>
      <x:c r="B123" t="str">
        <x:v>Luna</x:v>
      </x:c>
      <x:c r="C123" t="str">
        <x:v>Perez</x:v>
      </x:c>
      <x:c r="D123" t="str">
        <x:v>Brightpath Health</x:v>
      </x:c>
      <x:c r="E123" t="str">
        <x:v>luna.perez892@examplebiz.com</x:v>
      </x:c>
      <x:c r="F123" t="str">
        <x:v>341-405-6614</x:v>
      </x:c>
      <x:c r="G123" t="str">
        <x:v>FL</x:v>
      </x:c>
      <x:c r="H123" t="str">
        <x:v>Webinar</x:v>
      </x:c>
      <x:c r="I123" t="str">
        <x:v>Closed Won</x:v>
      </x:c>
      <x:c r="J123" t="str">
        <x:v>Jordan Lee</x:v>
      </x:c>
      <x:c r="K123" s="6" t="n">
        <x:v>46149</x:v>
      </x:c>
      <x:c r="L123" s="6" t="n">
        <x:v>46216</x:v>
      </x:c>
      <x:c r="M123" s="6"/>
      <x:c r="N123" s="8" t="n">
        <x:v>27100</x:v>
      </x:c>
      <x:c r="O123" t="str">
        <x:v>Logistics</x:v>
      </x:c>
      <x:c r="P123" t="str">
        <x:v>Yes</x:v>
      </x:c>
      <x:c r="Q123" t="str">
        <x:v>Yes</x:v>
      </x:c>
      <x:c r="R123" s="6" t="n">
        <x:v>46217</x:v>
      </x:c>
      <x:c r="S123" t="str">
        <x:f>IF(E123="","Unique",IF(COUNTIF($E$2:E123,E123)&gt;1,"Duplicate","Unique"))</x:f>
        <x:v>Unique</x:v>
      </x:c>
      <x:c r="T123" t="str">
        <x:f>IF(J123="Unassigned","Yes","No")</x:f>
        <x:v>No</x:v>
      </x:c>
      <x:c r="U123" t="str">
        <x:f>IF(AND(E123="",F123=""),"Yes","No")</x:f>
        <x:v>No</x:v>
      </x:c>
      <x:c r="V123" t="str">
        <x:f>IF(AND('Dashboard'!$B$2-L123&gt;30,I123&lt;&gt;"Closed Won",I123&lt;&gt;"Closed Lost"),"Yes","No")</x:f>
        <x:v>No</x:v>
      </x:c>
      <x:c r="W123" t="str">
        <x:f>IF(AND(M123&lt;&gt;"",M123&lt;'Dashboard'!$B$2,I123&lt;&gt;"Closed Won",I123&lt;&gt;"Closed Lost"),"Yes","No")</x:f>
        <x:v>No</x:v>
      </x:c>
      <x:c r="X123" t="str">
        <x:f>IF(OR(S123="Duplicate",T123="Yes",U123="Yes",D123="Unknown",W123="Yes"),"Yes","No")</x:f>
        <x:v>No</x:v>
      </x:c>
      <x:c r="Y123" t="n">
        <x:f>IF(S123="Duplicate",0,1)</x:f>
        <x:v>1</x:v>
      </x:c>
    </x:row>
    <x:row r="124">
      <x:c r="A124" t="str">
        <x:v>L-0123</x:v>
      </x:c>
      <x:c r="B124" t="str">
        <x:v>Ethan</x:v>
      </x:c>
      <x:c r="C124" t="str">
        <x:v>Perez</x:v>
      </x:c>
      <x:c r="D124" t="str">
        <x:v>Cedarworks</x:v>
      </x:c>
      <x:c r="E124" t="str">
        <x:v>mia.lee601@northmail.com</x:v>
      </x:c>
      <x:c r="F124" t="str">
        <x:v>(747) 404-7112</x:v>
      </x:c>
      <x:c r="G124" t="str">
        <x:v>TX</x:v>
      </x:c>
      <x:c r="H124" t="str">
        <x:v>Website</x:v>
      </x:c>
      <x:c r="I124" t="str">
        <x:v>Qualified</x:v>
      </x:c>
      <x:c r="J124" t="str">
        <x:v>Morgan Reed</x:v>
      </x:c>
      <x:c r="K124" s="6" t="n">
        <x:v>46137</x:v>
      </x:c>
      <x:c r="L124" s="6" t="n">
        <x:v>46188</x:v>
      </x:c>
      <x:c r="M124" s="6" t="n">
        <x:v>46204</x:v>
      </x:c>
      <x:c r="N124" s="8" t="n">
        <x:v>82100</x:v>
      </x:c>
      <x:c r="O124" t="str">
        <x:v>Logistics</x:v>
      </x:c>
      <x:c r="P124" t="str">
        <x:v>Yes</x:v>
      </x:c>
      <x:c r="Q124" t="str">
        <x:v>No</x:v>
      </x:c>
      <x:c r="R124" s="6"/>
      <x:c r="S124" t="str">
        <x:f>IF(E124="","Unique",IF(COUNTIF($E$2:E124,E124)&gt;1,"Duplicate","Unique"))</x:f>
        <x:v>Duplicate</x:v>
      </x:c>
      <x:c r="T124" t="str">
        <x:f>IF(J124="Unassigned","Yes","No")</x:f>
        <x:v>No</x:v>
      </x:c>
      <x:c r="U124" t="str">
        <x:f>IF(AND(E124="",F124=""),"Yes","No")</x:f>
        <x:v>No</x:v>
      </x:c>
      <x:c r="V124" t="str">
        <x:f>IF(AND('Dashboard'!$B$2-L124&gt;30,I124&lt;&gt;"Closed Won",I124&lt;&gt;"Closed Lost"),"Yes","No")</x:f>
        <x:v>Yes</x:v>
      </x:c>
      <x:c r="W124" t="str">
        <x:f>IF(AND(M124&lt;&gt;"",M124&lt;'Dashboard'!$B$2,I124&lt;&gt;"Closed Won",I124&lt;&gt;"Closed Lost"),"Yes","No")</x:f>
        <x:v>Yes</x:v>
      </x:c>
      <x:c r="X124" t="str">
        <x:f>IF(OR(S124="Duplicate",T124="Yes",U124="Yes",D124="Unknown",W124="Yes"),"Yes","No")</x:f>
        <x:v>Yes</x:v>
      </x:c>
      <x:c r="Y124" t="n">
        <x:f>IF(S124="Duplicate",0,1)</x:f>
        <x:v>0</x:v>
      </x:c>
    </x:row>
    <x:row r="125">
      <x:c r="A125" t="str">
        <x:v>L-0124</x:v>
      </x:c>
      <x:c r="B125" t="str">
        <x:v>Liam</x:v>
      </x:c>
      <x:c r="C125" t="str">
        <x:v>Martinez</x:v>
      </x:c>
      <x:c r="D125" t="str">
        <x:v>Evergreen Services</x:v>
      </x:c>
      <x:c r="E125" t="str">
        <x:v>liam.martinez924@mailhub.net</x:v>
      </x:c>
      <x:c r="F125" t="str"/>
      <x:c r="G125" t="str">
        <x:v>PA</x:v>
      </x:c>
      <x:c r="H125" t="str">
        <x:v>Webinar</x:v>
      </x:c>
      <x:c r="I125" t="str">
        <x:v>Qualified</x:v>
      </x:c>
      <x:c r="J125" t="str">
        <x:v>Casey Patel</x:v>
      </x:c>
      <x:c r="K125" s="6" t="n">
        <x:v>46135</x:v>
      </x:c>
      <x:c r="L125" s="6" t="n">
        <x:v>46248</x:v>
      </x:c>
      <x:c r="M125" s="6" t="n">
        <x:v>46272</x:v>
      </x:c>
      <x:c r="N125" s="8" t="n">
        <x:v>84600</x:v>
      </x:c>
      <x:c r="O125" t="str">
        <x:v>Logistics</x:v>
      </x:c>
      <x:c r="P125" t="str">
        <x:v>Yes</x:v>
      </x:c>
      <x:c r="Q125" t="str">
        <x:v>No</x:v>
      </x:c>
      <x:c r="R125" s="6"/>
      <x:c r="S125" t="str">
        <x:f>IF(E125="","Unique",IF(COUNTIF($E$2:E125,E125)&gt;1,"Duplicate","Unique"))</x:f>
        <x:v>Unique</x:v>
      </x:c>
      <x:c r="T125" t="str">
        <x:f>IF(J125="Unassigned","Yes","No")</x:f>
        <x:v>No</x:v>
      </x:c>
      <x:c r="U125" t="str">
        <x:f>IF(AND(E125="",F125=""),"Yes","No")</x:f>
        <x:v>No</x:v>
      </x:c>
      <x:c r="V125" t="str">
        <x:f>IF(AND('Dashboard'!$B$2-L125&gt;30,I125&lt;&gt;"Closed Won",I125&lt;&gt;"Closed Lost"),"Yes","No")</x:f>
        <x:v>No</x:v>
      </x:c>
      <x:c r="W125" t="str">
        <x:f>IF(AND(M125&lt;&gt;"",M125&lt;'Dashboard'!$B$2,I125&lt;&gt;"Closed Won",I125&lt;&gt;"Closed Lost"),"Yes","No")</x:f>
        <x:v>No</x:v>
      </x:c>
      <x:c r="X125" t="str">
        <x:f>IF(OR(S125="Duplicate",T125="Yes",U125="Yes",D125="Unknown",W125="Yes"),"Yes","No")</x:f>
        <x:v>No</x:v>
      </x:c>
      <x:c r="Y125" t="n">
        <x:f>IF(S125="Duplicate",0,1)</x:f>
        <x:v>1</x:v>
      </x:c>
    </x:row>
    <x:row r="126">
      <x:c r="A126" t="str">
        <x:v>L-0125</x:v>
      </x:c>
      <x:c r="B126" t="str">
        <x:v>Sophia</x:v>
      </x:c>
      <x:c r="C126" t="str">
        <x:v>Lee</x:v>
      </x:c>
      <x:c r="D126" t="str">
        <x:v>Peakline Systems</x:v>
      </x:c>
      <x:c r="E126" t="str"/>
      <x:c r="F126" t="str">
        <x:v>(686) 918-3508</x:v>
      </x:c>
      <x:c r="G126" t="str">
        <x:v>OH</x:v>
      </x:c>
      <x:c r="H126" t="str">
        <x:v>Website</x:v>
      </x:c>
      <x:c r="I126" t="str">
        <x:v>Closed Won</x:v>
      </x:c>
      <x:c r="J126" t="str">
        <x:v>Morgan Reed</x:v>
      </x:c>
      <x:c r="K126" s="6" t="n">
        <x:v>46234</x:v>
      </x:c>
      <x:c r="L126" s="6" t="n">
        <x:v>46237</x:v>
      </x:c>
      <x:c r="M126" s="6"/>
      <x:c r="N126" s="8" t="n">
        <x:v>36900</x:v>
      </x:c>
      <x:c r="O126" t="str">
        <x:v>Healthcare</x:v>
      </x:c>
      <x:c r="P126" t="str">
        <x:v>Yes</x:v>
      </x:c>
      <x:c r="Q126" t="str">
        <x:v>Yes</x:v>
      </x:c>
      <x:c r="R126" s="6" t="n">
        <x:v>46239</x:v>
      </x:c>
      <x:c r="S126" t="str">
        <x:f>IF(E126="","Unique",IF(COUNTIF($E$2:E126,E126)&gt;1,"Duplicate","Unique"))</x:f>
        <x:v>Unique</x:v>
      </x:c>
      <x:c r="T126" t="str">
        <x:f>IF(J126="Unassigned","Yes","No")</x:f>
        <x:v>No</x:v>
      </x:c>
      <x:c r="U126" t="str">
        <x:f>IF(AND(E126="",F126=""),"Yes","No")</x:f>
        <x:v>No</x:v>
      </x:c>
      <x:c r="V126" t="str">
        <x:f>IF(AND('Dashboard'!$B$2-L126&gt;30,I126&lt;&gt;"Closed Won",I126&lt;&gt;"Closed Lost"),"Yes","No")</x:f>
        <x:v>No</x:v>
      </x:c>
      <x:c r="W126" t="str">
        <x:f>IF(AND(M126&lt;&gt;"",M126&lt;'Dashboard'!$B$2,I126&lt;&gt;"Closed Won",I126&lt;&gt;"Closed Lost"),"Yes","No")</x:f>
        <x:v>No</x:v>
      </x:c>
      <x:c r="X126" t="str">
        <x:f>IF(OR(S126="Duplicate",T126="Yes",U126="Yes",D126="Unknown",W126="Yes"),"Yes","No")</x:f>
        <x:v>No</x:v>
      </x:c>
      <x:c r="Y126" t="n">
        <x:f>IF(S126="Duplicate",0,1)</x:f>
        <x:v>1</x:v>
      </x:c>
    </x:row>
    <x:row r="127">
      <x:c r="A127" t="str">
        <x:v>L-0126</x:v>
      </x:c>
      <x:c r="B127" t="str">
        <x:v>Benjamin</x:v>
      </x:c>
      <x:c r="C127" t="str">
        <x:v>Miller</x:v>
      </x:c>
      <x:c r="D127" t="str">
        <x:v>Apex Manufacturing</x:v>
      </x:c>
      <x:c r="E127" t="str">
        <x:v>benjamin.miller933@examplebiz.com</x:v>
      </x:c>
      <x:c r="F127" t="str">
        <x:v>(905) 692-6416</x:v>
      </x:c>
      <x:c r="G127" t="str">
        <x:v>GA</x:v>
      </x:c>
      <x:c r="H127" t="str">
        <x:v>Outbound</x:v>
      </x:c>
      <x:c r="I127" t="str">
        <x:v>Contacted</x:v>
      </x:c>
      <x:c r="J127" t="str">
        <x:v>Unassigned</x:v>
      </x:c>
      <x:c r="K127" s="6" t="n">
        <x:v>46142</x:v>
      </x:c>
      <x:c r="L127" s="6" t="n">
        <x:v>46179</x:v>
      </x:c>
      <x:c r="M127" s="6" t="n">
        <x:v>46187</x:v>
      </x:c>
      <x:c r="N127" s="8" t="n">
        <x:v>5800</x:v>
      </x:c>
      <x:c r="O127" t="str">
        <x:v>Financial Services</x:v>
      </x:c>
      <x:c r="P127" t="str">
        <x:v>No</x:v>
      </x:c>
      <x:c r="Q127" t="str">
        <x:v>No</x:v>
      </x:c>
      <x:c r="R127" s="6"/>
      <x:c r="S127" t="str">
        <x:f>IF(E127="","Unique",IF(COUNTIF($E$2:E127,E127)&gt;1,"Duplicate","Unique"))</x:f>
        <x:v>Unique</x:v>
      </x:c>
      <x:c r="T127" t="str">
        <x:f>IF(J127="Unassigned","Yes","No")</x:f>
        <x:v>Yes</x:v>
      </x:c>
      <x:c r="U127" t="str">
        <x:f>IF(AND(E127="",F127=""),"Yes","No")</x:f>
        <x:v>No</x:v>
      </x:c>
      <x:c r="V127" t="str">
        <x:f>IF(AND('Dashboard'!$B$2-L127&gt;30,I127&lt;&gt;"Closed Won",I127&lt;&gt;"Closed Lost"),"Yes","No")</x:f>
        <x:v>Yes</x:v>
      </x:c>
      <x:c r="W127" t="str">
        <x:f>IF(AND(M127&lt;&gt;"",M127&lt;'Dashboard'!$B$2,I127&lt;&gt;"Closed Won",I127&lt;&gt;"Closed Lost"),"Yes","No")</x:f>
        <x:v>Yes</x:v>
      </x:c>
      <x:c r="X127" t="str">
        <x:f>IF(OR(S127="Duplicate",T127="Yes",U127="Yes",D127="Unknown",W127="Yes"),"Yes","No")</x:f>
        <x:v>Yes</x:v>
      </x:c>
      <x:c r="Y127" t="n">
        <x:f>IF(S127="Duplicate",0,1)</x:f>
        <x:v>1</x:v>
      </x:c>
    </x:row>
    <x:row r="128">
      <x:c r="A128" t="str">
        <x:v>L-0127</x:v>
      </x:c>
      <x:c r="B128" t="str">
        <x:v>Lucas</x:v>
      </x:c>
      <x:c r="C128" t="str">
        <x:v>Rodriguez</x:v>
      </x:c>
      <x:c r="D128" t="str">
        <x:v>Unknown</x:v>
      </x:c>
      <x:c r="E128" t="str">
        <x:v>lucas.rodriguez437@northmail.com</x:v>
      </x:c>
      <x:c r="F128" t="str">
        <x:v>(298) 976-1751</x:v>
      </x:c>
      <x:c r="G128" t="str">
        <x:v>TX</x:v>
      </x:c>
      <x:c r="H128" t="str">
        <x:v>Email Campaign</x:v>
      </x:c>
      <x:c r="I128" t="str">
        <x:v>Closed Won</x:v>
      </x:c>
      <x:c r="J128" t="str">
        <x:v>Casey Patel</x:v>
      </x:c>
      <x:c r="K128" s="6" t="n">
        <x:v>46172</x:v>
      </x:c>
      <x:c r="L128" s="6" t="n">
        <x:v>46218</x:v>
      </x:c>
      <x:c r="M128" s="6"/>
      <x:c r="N128" s="8" t="n">
        <x:v>68600</x:v>
      </x:c>
      <x:c r="O128" t="str">
        <x:v>Healthcare</x:v>
      </x:c>
      <x:c r="P128" t="str">
        <x:v>Yes</x:v>
      </x:c>
      <x:c r="Q128" t="str">
        <x:v>Yes</x:v>
      </x:c>
      <x:c r="R128" s="6" t="n">
        <x:v>46222</x:v>
      </x:c>
      <x:c r="S128" t="str">
        <x:f>IF(E128="","Unique",IF(COUNTIF($E$2:E128,E128)&gt;1,"Duplicate","Unique"))</x:f>
        <x:v>Unique</x:v>
      </x:c>
      <x:c r="T128" t="str">
        <x:f>IF(J128="Unassigned","Yes","No")</x:f>
        <x:v>No</x:v>
      </x:c>
      <x:c r="U128" t="str">
        <x:f>IF(AND(E128="",F128=""),"Yes","No")</x:f>
        <x:v>No</x:v>
      </x:c>
      <x:c r="V128" t="str">
        <x:f>IF(AND('Dashboard'!$B$2-L128&gt;30,I128&lt;&gt;"Closed Won",I128&lt;&gt;"Closed Lost"),"Yes","No")</x:f>
        <x:v>No</x:v>
      </x:c>
      <x:c r="W128" t="str">
        <x:f>IF(AND(M128&lt;&gt;"",M128&lt;'Dashboard'!$B$2,I128&lt;&gt;"Closed Won",I128&lt;&gt;"Closed Lost"),"Yes","No")</x:f>
        <x:v>No</x:v>
      </x:c>
      <x:c r="X128" t="str">
        <x:f>IF(OR(S128="Duplicate",T128="Yes",U128="Yes",D128="Unknown",W128="Yes"),"Yes","No")</x:f>
        <x:v>Yes</x:v>
      </x:c>
      <x:c r="Y128" t="n">
        <x:f>IF(S128="Duplicate",0,1)</x:f>
        <x:v>1</x:v>
      </x:c>
    </x:row>
    <x:row r="129">
      <x:c r="A129" t="str">
        <x:v>L-0128</x:v>
      </x:c>
      <x:c r="B129" t="str">
        <x:v>Sophia</x:v>
      </x:c>
      <x:c r="C129" t="str">
        <x:v>Thomas</x:v>
      </x:c>
      <x:c r="D129" t="str">
        <x:v>Atlas Commerce</x:v>
      </x:c>
      <x:c r="E129" t="str">
        <x:v>sophia.thomas495@mailhub.net</x:v>
      </x:c>
      <x:c r="F129" t="str">
        <x:v>386-825-7221</x:v>
      </x:c>
      <x:c r="G129" t="str">
        <x:v>OH</x:v>
      </x:c>
      <x:c r="H129" t="str">
        <x:v>Email Campaign</x:v>
      </x:c>
      <x:c r="I129" t="str">
        <x:v>New</x:v>
      </x:c>
      <x:c r="J129" t="str">
        <x:v>Alex Kim</x:v>
      </x:c>
      <x:c r="K129" s="6" t="n">
        <x:v>46213</x:v>
      </x:c>
      <x:c r="L129" s="6" t="n">
        <x:v>46216</x:v>
      </x:c>
      <x:c r="M129" s="6" t="n">
        <x:v>46224</x:v>
      </x:c>
      <x:c r="N129" s="8" t="n">
        <x:v>11100</x:v>
      </x:c>
      <x:c r="O129" t="str">
        <x:v>Professional Services</x:v>
      </x:c>
      <x:c r="P129" t="str">
        <x:v>No</x:v>
      </x:c>
      <x:c r="Q129" t="str">
        <x:v>No</x:v>
      </x:c>
      <x:c r="R129" s="6"/>
      <x:c r="S129" t="str">
        <x:f>IF(E129="","Unique",IF(COUNTIF($E$2:E129,E129)&gt;1,"Duplicate","Unique"))</x:f>
        <x:v>Unique</x:v>
      </x:c>
      <x:c r="T129" t="str">
        <x:f>IF(J129="Unassigned","Yes","No")</x:f>
        <x:v>No</x:v>
      </x:c>
      <x:c r="U129" t="str">
        <x:f>IF(AND(E129="",F129=""),"Yes","No")</x:f>
        <x:v>No</x:v>
      </x:c>
      <x:c r="V129" t="str">
        <x:f>IF(AND('Dashboard'!$B$2-L129&gt;30,I129&lt;&gt;"Closed Won",I129&lt;&gt;"Closed Lost"),"Yes","No")</x:f>
        <x:v>Yes</x:v>
      </x:c>
      <x:c r="W129" t="str">
        <x:f>IF(AND(M129&lt;&gt;"",M129&lt;'Dashboard'!$B$2,I129&lt;&gt;"Closed Won",I129&lt;&gt;"Closed Lost"),"Yes","No")</x:f>
        <x:v>Yes</x:v>
      </x:c>
      <x:c r="X129" t="str">
        <x:f>IF(OR(S129="Duplicate",T129="Yes",U129="Yes",D129="Unknown",W129="Yes"),"Yes","No")</x:f>
        <x:v>Yes</x:v>
      </x:c>
      <x:c r="Y129" t="n">
        <x:f>IF(S129="Duplicate",0,1)</x:f>
        <x:v>1</x:v>
      </x:c>
    </x:row>
    <x:row r="130">
      <x:c r="A130" t="str">
        <x:v>L-0129</x:v>
      </x:c>
      <x:c r="B130" t="str">
        <x:v>Evelyn</x:v>
      </x:c>
      <x:c r="C130" t="str">
        <x:v>Perez</x:v>
      </x:c>
      <x:c r="D130" t="str">
        <x:v>Unknown</x:v>
      </x:c>
      <x:c r="E130" t="str">
        <x:v>evelyn.perez355@mailhub.net</x:v>
      </x:c>
      <x:c r="F130" t="str">
        <x:v>(353) 771-1894</x:v>
      </x:c>
      <x:c r="G130" t="str">
        <x:v>GA</x:v>
      </x:c>
      <x:c r="H130" t="str">
        <x:v>Webinar</x:v>
      </x:c>
      <x:c r="I130" t="str">
        <x:v>Opportunity</x:v>
      </x:c>
      <x:c r="J130" t="str">
        <x:v>Morgan Reed</x:v>
      </x:c>
      <x:c r="K130" s="6" t="n">
        <x:v>46222</x:v>
      </x:c>
      <x:c r="L130" s="6" t="n">
        <x:v>46235</x:v>
      </x:c>
      <x:c r="M130" s="6" t="n">
        <x:v>46259</x:v>
      </x:c>
      <x:c r="N130" s="8" t="n">
        <x:v>62400</x:v>
      </x:c>
      <x:c r="O130" t="str">
        <x:v>Biotech</x:v>
      </x:c>
      <x:c r="P130" t="str">
        <x:v>Yes</x:v>
      </x:c>
      <x:c r="Q130" t="str">
        <x:v>No</x:v>
      </x:c>
      <x:c r="R130" s="6"/>
      <x:c r="S130" t="str">
        <x:f>IF(E130="","Unique",IF(COUNTIF($E$2:E130,E130)&gt;1,"Duplicate","Unique"))</x:f>
        <x:v>Unique</x:v>
      </x:c>
      <x:c r="T130" t="str">
        <x:f>IF(J130="Unassigned","Yes","No")</x:f>
        <x:v>No</x:v>
      </x:c>
      <x:c r="U130" t="str">
        <x:f>IF(AND(E130="",F130=""),"Yes","No")</x:f>
        <x:v>No</x:v>
      </x:c>
      <x:c r="V130" t="str">
        <x:f>IF(AND('Dashboard'!$B$2-L130&gt;30,I130&lt;&gt;"Closed Won",I130&lt;&gt;"Closed Lost"),"Yes","No")</x:f>
        <x:v>No</x:v>
      </x:c>
      <x:c r="W130" t="str">
        <x:f>IF(AND(M130&lt;&gt;"",M130&lt;'Dashboard'!$B$2,I130&lt;&gt;"Closed Won",I130&lt;&gt;"Closed Lost"),"Yes","No")</x:f>
        <x:v>No</x:v>
      </x:c>
      <x:c r="X130" t="str">
        <x:f>IF(OR(S130="Duplicate",T130="Yes",U130="Yes",D130="Unknown",W130="Yes"),"Yes","No")</x:f>
        <x:v>Yes</x:v>
      </x:c>
      <x:c r="Y130" t="n">
        <x:f>IF(S130="Duplicate",0,1)</x:f>
        <x:v>1</x:v>
      </x:c>
    </x:row>
    <x:row r="131">
      <x:c r="A131" t="str">
        <x:v>L-0130</x:v>
      </x:c>
      <x:c r="B131" t="str">
        <x:v>Amelia</x:v>
      </x:c>
      <x:c r="C131" t="str">
        <x:v>Thomas</x:v>
      </x:c>
      <x:c r="D131" t="str">
        <x:v>Unknown</x:v>
      </x:c>
      <x:c r="E131" t="str">
        <x:v>amelia.thomas510@northmail.com</x:v>
      </x:c>
      <x:c r="F131" t="str">
        <x:v>(306) 613-7755</x:v>
      </x:c>
      <x:c r="G131" t="str">
        <x:v>NC</x:v>
      </x:c>
      <x:c r="H131" t="str">
        <x:v>Webinar</x:v>
      </x:c>
      <x:c r="I131" t="str">
        <x:v>Qualified</x:v>
      </x:c>
      <x:c r="J131" t="str">
        <x:v>Jordan Lee</x:v>
      </x:c>
      <x:c r="K131" s="6" t="n">
        <x:v>46224</x:v>
      </x:c>
      <x:c r="L131" s="6" t="n">
        <x:v>46251</x:v>
      </x:c>
      <x:c r="M131" s="6" t="n">
        <x:v>46269</x:v>
      </x:c>
      <x:c r="N131" s="8" t="n">
        <x:v>39400</x:v>
      </x:c>
      <x:c r="O131" t="str">
        <x:v>Technology</x:v>
      </x:c>
      <x:c r="P131" t="str">
        <x:v>Yes</x:v>
      </x:c>
      <x:c r="Q131" t="str">
        <x:v>No</x:v>
      </x:c>
      <x:c r="R131" s="6"/>
      <x:c r="S131" t="str">
        <x:f>IF(E131="","Unique",IF(COUNTIF($E$2:E131,E131)&gt;1,"Duplicate","Unique"))</x:f>
        <x:v>Unique</x:v>
      </x:c>
      <x:c r="T131" t="str">
        <x:f>IF(J131="Unassigned","Yes","No")</x:f>
        <x:v>No</x:v>
      </x:c>
      <x:c r="U131" t="str">
        <x:f>IF(AND(E131="",F131=""),"Yes","No")</x:f>
        <x:v>No</x:v>
      </x:c>
      <x:c r="V131" t="str">
        <x:f>IF(AND('Dashboard'!$B$2-L131&gt;30,I131&lt;&gt;"Closed Won",I131&lt;&gt;"Closed Lost"),"Yes","No")</x:f>
        <x:v>No</x:v>
      </x:c>
      <x:c r="W131" t="str">
        <x:f>IF(AND(M131&lt;&gt;"",M131&lt;'Dashboard'!$B$2,I131&lt;&gt;"Closed Won",I131&lt;&gt;"Closed Lost"),"Yes","No")</x:f>
        <x:v>No</x:v>
      </x:c>
      <x:c r="X131" t="str">
        <x:f>IF(OR(S131="Duplicate",T131="Yes",U131="Yes",D131="Unknown",W131="Yes"),"Yes","No")</x:f>
        <x:v>Yes</x:v>
      </x:c>
      <x:c r="Y131" t="n">
        <x:f>IF(S131="Duplicate",0,1)</x:f>
        <x:v>1</x:v>
      </x:c>
    </x:row>
    <x:row r="132">
      <x:c r="A132" t="str">
        <x:v>L-0131</x:v>
      </x:c>
      <x:c r="B132" t="str">
        <x:v>Mason</x:v>
      </x:c>
      <x:c r="C132" t="str">
        <x:v>Moore</x:v>
      </x:c>
      <x:c r="D132" t="str">
        <x:v>Redstone Consulting</x:v>
      </x:c>
      <x:c r="E132" t="str">
        <x:v>mason.moore364@prospect.co</x:v>
      </x:c>
      <x:c r="F132" t="str">
        <x:v>(761) 734-7125</x:v>
      </x:c>
      <x:c r="G132" t="str">
        <x:v>PA</x:v>
      </x:c>
      <x:c r="H132" t="str">
        <x:v>LinkedIn</x:v>
      </x:c>
      <x:c r="I132" t="str">
        <x:v>Opportunity</x:v>
      </x:c>
      <x:c r="J132" t="str">
        <x:v>Unassigned</x:v>
      </x:c>
      <x:c r="K132" s="6" t="n">
        <x:v>46217</x:v>
      </x:c>
      <x:c r="L132" s="6" t="n">
        <x:v>46223</x:v>
      </x:c>
      <x:c r="M132" s="6" t="n">
        <x:v>46247</x:v>
      </x:c>
      <x:c r="N132" s="8" t="n">
        <x:v>20800</x:v>
      </x:c>
      <x:c r="O132" t="str">
        <x:v>Logistics</x:v>
      </x:c>
      <x:c r="P132" t="str">
        <x:v>Yes</x:v>
      </x:c>
      <x:c r="Q132" t="str">
        <x:v>No</x:v>
      </x:c>
      <x:c r="R132" s="6"/>
      <x:c r="S132" t="str">
        <x:f>IF(E132="","Unique",IF(COUNTIF($E$2:E132,E132)&gt;1,"Duplicate","Unique"))</x:f>
        <x:v>Unique</x:v>
      </x:c>
      <x:c r="T132" t="str">
        <x:f>IF(J132="Unassigned","Yes","No")</x:f>
        <x:v>Yes</x:v>
      </x:c>
      <x:c r="U132" t="str">
        <x:f>IF(AND(E132="",F132=""),"Yes","No")</x:f>
        <x:v>No</x:v>
      </x:c>
      <x:c r="V132" t="str">
        <x:f>IF(AND('Dashboard'!$B$2-L132&gt;30,I132&lt;&gt;"Closed Won",I132&lt;&gt;"Closed Lost"),"Yes","No")</x:f>
        <x:v>No</x:v>
      </x:c>
      <x:c r="W132" t="str">
        <x:f>IF(AND(M132&lt;&gt;"",M132&lt;'Dashboard'!$B$2,I132&lt;&gt;"Closed Won",I132&lt;&gt;"Closed Lost"),"Yes","No")</x:f>
        <x:v>Yes</x:v>
      </x:c>
      <x:c r="X132" t="str">
        <x:f>IF(OR(S132="Duplicate",T132="Yes",U132="Yes",D132="Unknown",W132="Yes"),"Yes","No")</x:f>
        <x:v>Yes</x:v>
      </x:c>
      <x:c r="Y132" t="n">
        <x:f>IF(S132="Duplicate",0,1)</x:f>
        <x:v>1</x:v>
      </x:c>
    </x:row>
    <x:row r="133">
      <x:c r="A133" t="str">
        <x:v>L-0132</x:v>
      </x:c>
      <x:c r="B133" t="str">
        <x:v>Isabella</x:v>
      </x:c>
      <x:c r="C133" t="str">
        <x:v>Brown</x:v>
      </x:c>
      <x:c r="D133" t="str">
        <x:v>Vertex Solutions</x:v>
      </x:c>
      <x:c r="E133" t="str">
        <x:v>isabella.brown138@mailhub.net</x:v>
      </x:c>
      <x:c r="F133" t="str">
        <x:v>(205) 743-1795</x:v>
      </x:c>
      <x:c r="G133" t="str">
        <x:v>OH</x:v>
      </x:c>
      <x:c r="H133" t="str">
        <x:v>Email Campaign</x:v>
      </x:c>
      <x:c r="I133" t="str">
        <x:v>Qualified</x:v>
      </x:c>
      <x:c r="J133" t="str">
        <x:v>Alex Kim</x:v>
      </x:c>
      <x:c r="K133" s="6" t="n">
        <x:v>46049</x:v>
      </x:c>
      <x:c r="L133" s="6" t="n">
        <x:v>46164</x:v>
      </x:c>
      <x:c r="M133" s="6" t="n">
        <x:v>46181</x:v>
      </x:c>
      <x:c r="N133" s="8" t="n">
        <x:v>56800</x:v>
      </x:c>
      <x:c r="O133" t="str">
        <x:v>Healthcare</x:v>
      </x:c>
      <x:c r="P133" t="str">
        <x:v>Yes</x:v>
      </x:c>
      <x:c r="Q133" t="str">
        <x:v>No</x:v>
      </x:c>
      <x:c r="R133" s="6"/>
      <x:c r="S133" t="str">
        <x:f>IF(E133="","Unique",IF(COUNTIF($E$2:E133,E133)&gt;1,"Duplicate","Unique"))</x:f>
        <x:v>Unique</x:v>
      </x:c>
      <x:c r="T133" t="str">
        <x:f>IF(J133="Unassigned","Yes","No")</x:f>
        <x:v>No</x:v>
      </x:c>
      <x:c r="U133" t="str">
        <x:f>IF(AND(E133="",F133=""),"Yes","No")</x:f>
        <x:v>No</x:v>
      </x:c>
      <x:c r="V133" t="str">
        <x:f>IF(AND('Dashboard'!$B$2-L133&gt;30,I133&lt;&gt;"Closed Won",I133&lt;&gt;"Closed Lost"),"Yes","No")</x:f>
        <x:v>Yes</x:v>
      </x:c>
      <x:c r="W133" t="str">
        <x:f>IF(AND(M133&lt;&gt;"",M133&lt;'Dashboard'!$B$2,I133&lt;&gt;"Closed Won",I133&lt;&gt;"Closed Lost"),"Yes","No")</x:f>
        <x:v>Yes</x:v>
      </x:c>
      <x:c r="X133" t="str">
        <x:f>IF(OR(S133="Duplicate",T133="Yes",U133="Yes",D133="Unknown",W133="Yes"),"Yes","No")</x:f>
        <x:v>Yes</x:v>
      </x:c>
      <x:c r="Y133" t="n">
        <x:f>IF(S133="Duplicate",0,1)</x:f>
        <x:v>1</x:v>
      </x:c>
    </x:row>
    <x:row r="134">
      <x:c r="A134" t="str">
        <x:v>L-0133</x:v>
      </x:c>
      <x:c r="B134" t="str">
        <x:v>Henry</x:v>
      </x:c>
      <x:c r="C134" t="str">
        <x:v>Davis</x:v>
      </x:c>
      <x:c r="D134" t="str">
        <x:v>Horizon Bio</x:v>
      </x:c>
      <x:c r="E134" t="str">
        <x:v>henry.davis525@prospect.co</x:v>
      </x:c>
      <x:c r="F134" t="str">
        <x:v>(919) 760-6143</x:v>
      </x:c>
      <x:c r="G134" t="str">
        <x:v>IL</x:v>
      </x:c>
      <x:c r="H134" t="str">
        <x:v>Outbound</x:v>
      </x:c>
      <x:c r="I134" t="str">
        <x:v>Qualified</x:v>
      </x:c>
      <x:c r="J134" t="str">
        <x:v>Jamie Brooks</x:v>
      </x:c>
      <x:c r="K134" s="6" t="n">
        <x:v>46212</x:v>
      </x:c>
      <x:c r="L134" s="6" t="n">
        <x:v>46220</x:v>
      </x:c>
      <x:c r="M134" s="6" t="n">
        <x:v>46236</x:v>
      </x:c>
      <x:c r="N134" s="8" t="n">
        <x:v>52200</x:v>
      </x:c>
      <x:c r="O134" t="str">
        <x:v>Professional Services</x:v>
      </x:c>
      <x:c r="P134" t="str">
        <x:v>Yes</x:v>
      </x:c>
      <x:c r="Q134" t="str">
        <x:v>No</x:v>
      </x:c>
      <x:c r="R134" s="6"/>
      <x:c r="S134" t="str">
        <x:f>IF(E134="","Unique",IF(COUNTIF($E$2:E134,E134)&gt;1,"Duplicate","Unique"))</x:f>
        <x:v>Unique</x:v>
      </x:c>
      <x:c r="T134" t="str">
        <x:f>IF(J134="Unassigned","Yes","No")</x:f>
        <x:v>No</x:v>
      </x:c>
      <x:c r="U134" t="str">
        <x:f>IF(AND(E134="",F134=""),"Yes","No")</x:f>
        <x:v>No</x:v>
      </x:c>
      <x:c r="V134" t="str">
        <x:f>IF(AND('Dashboard'!$B$2-L134&gt;30,I134&lt;&gt;"Closed Won",I134&lt;&gt;"Closed Lost"),"Yes","No")</x:f>
        <x:v>Yes</x:v>
      </x:c>
      <x:c r="W134" t="str">
        <x:f>IF(AND(M134&lt;&gt;"",M134&lt;'Dashboard'!$B$2,I134&lt;&gt;"Closed Won",I134&lt;&gt;"Closed Lost"),"Yes","No")</x:f>
        <x:v>Yes</x:v>
      </x:c>
      <x:c r="X134" t="str">
        <x:f>IF(OR(S134="Duplicate",T134="Yes",U134="Yes",D134="Unknown",W134="Yes"),"Yes","No")</x:f>
        <x:v>Yes</x:v>
      </x:c>
      <x:c r="Y134" t="n">
        <x:f>IF(S134="Duplicate",0,1)</x:f>
        <x:v>1</x:v>
      </x:c>
    </x:row>
    <x:row r="135">
      <x:c r="A135" t="str">
        <x:v>L-0134</x:v>
      </x:c>
      <x:c r="B135" t="str">
        <x:v>Elijah</x:v>
      </x:c>
      <x:c r="C135" t="str">
        <x:v>Jackson</x:v>
      </x:c>
      <x:c r="D135" t="str">
        <x:v>Vertex Solutions</x:v>
      </x:c>
      <x:c r="E135" t="str">
        <x:v>elijah.jackson205@prospect.co</x:v>
      </x:c>
      <x:c r="F135" t="str">
        <x:v>(969) 364-5695</x:v>
      </x:c>
      <x:c r="G135" t="str">
        <x:v>AZ</x:v>
      </x:c>
      <x:c r="H135" t="str">
        <x:v>Email Campaign</x:v>
      </x:c>
      <x:c r="I135" t="str">
        <x:v>Qualified</x:v>
      </x:c>
      <x:c r="J135" t="str">
        <x:v>Jordan Lee</x:v>
      </x:c>
      <x:c r="K135" s="6" t="n">
        <x:v>46240</x:v>
      </x:c>
      <x:c r="L135" s="6" t="n">
        <x:v>46246</x:v>
      </x:c>
      <x:c r="M135" s="6" t="n">
        <x:v>46253</x:v>
      </x:c>
      <x:c r="N135" s="8" t="n">
        <x:v>6900</x:v>
      </x:c>
      <x:c r="O135" t="str">
        <x:v>Financial Services</x:v>
      </x:c>
      <x:c r="P135" t="str">
        <x:v>Yes</x:v>
      </x:c>
      <x:c r="Q135" t="str">
        <x:v>No</x:v>
      </x:c>
      <x:c r="R135" s="6"/>
      <x:c r="S135" t="str">
        <x:f>IF(E135="","Unique",IF(COUNTIF($E$2:E135,E135)&gt;1,"Duplicate","Unique"))</x:f>
        <x:v>Unique</x:v>
      </x:c>
      <x:c r="T135" t="str">
        <x:f>IF(J135="Unassigned","Yes","No")</x:f>
        <x:v>No</x:v>
      </x:c>
      <x:c r="U135" t="str">
        <x:f>IF(AND(E135="",F135=""),"Yes","No")</x:f>
        <x:v>No</x:v>
      </x:c>
      <x:c r="V135" t="str">
        <x:f>IF(AND('Dashboard'!$B$2-L135&gt;30,I135&lt;&gt;"Closed Won",I135&lt;&gt;"Closed Lost"),"Yes","No")</x:f>
        <x:v>No</x:v>
      </x:c>
      <x:c r="W135" t="str">
        <x:f>IF(AND(M135&lt;&gt;"",M135&lt;'Dashboard'!$B$2,I135&lt;&gt;"Closed Won",I135&lt;&gt;"Closed Lost"),"Yes","No")</x:f>
        <x:v>No</x:v>
      </x:c>
      <x:c r="X135" t="str">
        <x:f>IF(OR(S135="Duplicate",T135="Yes",U135="Yes",D135="Unknown",W135="Yes"),"Yes","No")</x:f>
        <x:v>No</x:v>
      </x:c>
      <x:c r="Y135" t="n">
        <x:f>IF(S135="Duplicate",0,1)</x:f>
        <x:v>1</x:v>
      </x:c>
    </x:row>
    <x:row r="136">
      <x:c r="A136" t="str">
        <x:v>L-0135</x:v>
      </x:c>
      <x:c r="B136" t="str">
        <x:v>Lucas</x:v>
      </x:c>
      <x:c r="C136" t="str">
        <x:v>Johnson</x:v>
      </x:c>
      <x:c r="D136" t="str">
        <x:v>Silverline Foods</x:v>
      </x:c>
      <x:c r="E136" t="str">
        <x:v>lucas.johnson258@examplebiz.com</x:v>
      </x:c>
      <x:c r="F136" t="str">
        <x:v>(836) 999-8259</x:v>
      </x:c>
      <x:c r="G136" t="str">
        <x:v>AZ</x:v>
      </x:c>
      <x:c r="H136" t="str">
        <x:v>Outbound</x:v>
      </x:c>
      <x:c r="I136" t="str">
        <x:v>Closed Lost</x:v>
      </x:c>
      <x:c r="J136" t="str">
        <x:v>Jamie Brooks</x:v>
      </x:c>
      <x:c r="K136" s="6" t="n">
        <x:v>46166</x:v>
      </x:c>
      <x:c r="L136" s="6" t="n">
        <x:v>46236</x:v>
      </x:c>
      <x:c r="M136" s="6"/>
      <x:c r="N136" s="8" t="n">
        <x:v>6900</x:v>
      </x:c>
      <x:c r="O136" t="str">
        <x:v>Professional Services</x:v>
      </x:c>
      <x:c r="P136" t="str">
        <x:v>Yes</x:v>
      </x:c>
      <x:c r="Q136" t="str">
        <x:v>No</x:v>
      </x:c>
      <x:c r="R136" s="6" t="n">
        <x:v>46239</x:v>
      </x:c>
      <x:c r="S136" t="str">
        <x:f>IF(E136="","Unique",IF(COUNTIF($E$2:E136,E136)&gt;1,"Duplicate","Unique"))</x:f>
        <x:v>Unique</x:v>
      </x:c>
      <x:c r="T136" t="str">
        <x:f>IF(J136="Unassigned","Yes","No")</x:f>
        <x:v>No</x:v>
      </x:c>
      <x:c r="U136" t="str">
        <x:f>IF(AND(E136="",F136=""),"Yes","No")</x:f>
        <x:v>No</x:v>
      </x:c>
      <x:c r="V136" t="str">
        <x:f>IF(AND('Dashboard'!$B$2-L136&gt;30,I136&lt;&gt;"Closed Won",I136&lt;&gt;"Closed Lost"),"Yes","No")</x:f>
        <x:v>No</x:v>
      </x:c>
      <x:c r="W136" t="str">
        <x:f>IF(AND(M136&lt;&gt;"",M136&lt;'Dashboard'!$B$2,I136&lt;&gt;"Closed Won",I136&lt;&gt;"Closed Lost"),"Yes","No")</x:f>
        <x:v>No</x:v>
      </x:c>
      <x:c r="X136" t="str">
        <x:f>IF(OR(S136="Duplicate",T136="Yes",U136="Yes",D136="Unknown",W136="Yes"),"Yes","No")</x:f>
        <x:v>No</x:v>
      </x:c>
      <x:c r="Y136" t="n">
        <x:f>IF(S136="Duplicate",0,1)</x:f>
        <x:v>1</x:v>
      </x:c>
    </x:row>
    <x:row r="137">
      <x:c r="A137" t="str">
        <x:v>L-0136</x:v>
      </x:c>
      <x:c r="B137" t="str">
        <x:v>Noah</x:v>
      </x:c>
      <x:c r="C137" t="str">
        <x:v>Thomas</x:v>
      </x:c>
      <x:c r="D137" t="str">
        <x:v>Peakline Systems</x:v>
      </x:c>
      <x:c r="E137" t="str">
        <x:v>noah.thomas960@examplebiz.com</x:v>
      </x:c>
      <x:c r="F137" t="str">
        <x:v>(241) 357-6285</x:v>
      </x:c>
      <x:c r="G137" t="str">
        <x:v>NY</x:v>
      </x:c>
      <x:c r="H137" t="str">
        <x:v>Trade Show</x:v>
      </x:c>
      <x:c r="I137" t="str">
        <x:v>New</x:v>
      </x:c>
      <x:c r="J137" t="str">
        <x:v>Jamie Brooks</x:v>
      </x:c>
      <x:c r="K137" s="6" t="n">
        <x:v>46097</x:v>
      </x:c>
      <x:c r="L137" s="6" t="n">
        <x:v>46162</x:v>
      </x:c>
      <x:c r="M137" s="6" t="n">
        <x:v>46165</x:v>
      </x:c>
      <x:c r="N137" s="8" t="n">
        <x:v>29800</x:v>
      </x:c>
      <x:c r="O137" t="str">
        <x:v>Professional Services</x:v>
      </x:c>
      <x:c r="P137" t="str">
        <x:v>No</x:v>
      </x:c>
      <x:c r="Q137" t="str">
        <x:v>No</x:v>
      </x:c>
      <x:c r="R137" s="6"/>
      <x:c r="S137" t="str">
        <x:f>IF(E137="","Unique",IF(COUNTIF($E$2:E137,E137)&gt;1,"Duplicate","Unique"))</x:f>
        <x:v>Unique</x:v>
      </x:c>
      <x:c r="T137" t="str">
        <x:f>IF(J137="Unassigned","Yes","No")</x:f>
        <x:v>No</x:v>
      </x:c>
      <x:c r="U137" t="str">
        <x:f>IF(AND(E137="",F137=""),"Yes","No")</x:f>
        <x:v>No</x:v>
      </x:c>
      <x:c r="V137" t="str">
        <x:f>IF(AND('Dashboard'!$B$2-L137&gt;30,I137&lt;&gt;"Closed Won",I137&lt;&gt;"Closed Lost"),"Yes","No")</x:f>
        <x:v>Yes</x:v>
      </x:c>
      <x:c r="W137" t="str">
        <x:f>IF(AND(M137&lt;&gt;"",M137&lt;'Dashboard'!$B$2,I137&lt;&gt;"Closed Won",I137&lt;&gt;"Closed Lost"),"Yes","No")</x:f>
        <x:v>Yes</x:v>
      </x:c>
      <x:c r="X137" t="str">
        <x:f>IF(OR(S137="Duplicate",T137="Yes",U137="Yes",D137="Unknown",W137="Yes"),"Yes","No")</x:f>
        <x:v>Yes</x:v>
      </x:c>
      <x:c r="Y137" t="n">
        <x:f>IF(S137="Duplicate",0,1)</x:f>
        <x:v>1</x:v>
      </x:c>
    </x:row>
    <x:row r="138">
      <x:c r="A138" t="str">
        <x:v>L-0137</x:v>
      </x:c>
      <x:c r="B138" t="str">
        <x:v>Elijah</x:v>
      </x:c>
      <x:c r="C138" t="str">
        <x:v>Lee</x:v>
      </x:c>
      <x:c r="D138" t="str">
        <x:v>Silverline Foods</x:v>
      </x:c>
      <x:c r="E138" t="str">
        <x:v>elijah.lee544@mailhub.net</x:v>
      </x:c>
      <x:c r="F138" t="str">
        <x:v>(775) 970-1144</x:v>
      </x:c>
      <x:c r="G138" t="str">
        <x:v>IL</x:v>
      </x:c>
      <x:c r="H138" t="str">
        <x:v>Website</x:v>
      </x:c>
      <x:c r="I138" t="str">
        <x:v>Contacted</x:v>
      </x:c>
      <x:c r="J138" t="str">
        <x:v>Alex Kim</x:v>
      </x:c>
      <x:c r="K138" s="6" t="n">
        <x:v>46162</x:v>
      </x:c>
      <x:c r="L138" s="6" t="n">
        <x:v>46204</x:v>
      </x:c>
      <x:c r="M138" s="6" t="n">
        <x:v>46218</x:v>
      </x:c>
      <x:c r="N138" s="8" t="n">
        <x:v>26700</x:v>
      </x:c>
      <x:c r="O138" t="str">
        <x:v>Technology</x:v>
      </x:c>
      <x:c r="P138" t="str">
        <x:v>No</x:v>
      </x:c>
      <x:c r="Q138" t="str">
        <x:v>No</x:v>
      </x:c>
      <x:c r="R138" s="6"/>
      <x:c r="S138" t="str">
        <x:f>IF(E138="","Unique",IF(COUNTIF($E$2:E138,E138)&gt;1,"Duplicate","Unique"))</x:f>
        <x:v>Unique</x:v>
      </x:c>
      <x:c r="T138" t="str">
        <x:f>IF(J138="Unassigned","Yes","No")</x:f>
        <x:v>No</x:v>
      </x:c>
      <x:c r="U138" t="str">
        <x:f>IF(AND(E138="",F138=""),"Yes","No")</x:f>
        <x:v>No</x:v>
      </x:c>
      <x:c r="V138" t="str">
        <x:f>IF(AND('Dashboard'!$B$2-L138&gt;30,I138&lt;&gt;"Closed Won",I138&lt;&gt;"Closed Lost"),"Yes","No")</x:f>
        <x:v>Yes</x:v>
      </x:c>
      <x:c r="W138" t="str">
        <x:f>IF(AND(M138&lt;&gt;"",M138&lt;'Dashboard'!$B$2,I138&lt;&gt;"Closed Won",I138&lt;&gt;"Closed Lost"),"Yes","No")</x:f>
        <x:v>Yes</x:v>
      </x:c>
      <x:c r="X138" t="str">
        <x:f>IF(OR(S138="Duplicate",T138="Yes",U138="Yes",D138="Unknown",W138="Yes"),"Yes","No")</x:f>
        <x:v>Yes</x:v>
      </x:c>
      <x:c r="Y138" t="n">
        <x:f>IF(S138="Duplicate",0,1)</x:f>
        <x:v>1</x:v>
      </x:c>
    </x:row>
    <x:row r="139">
      <x:c r="A139" t="str">
        <x:v>L-0138</x:v>
      </x:c>
      <x:c r="B139" t="str">
        <x:v>Evelyn</x:v>
      </x:c>
      <x:c r="C139" t="str">
        <x:v>Anderson</x:v>
      </x:c>
      <x:c r="D139" t="str">
        <x:v>Prairie Health</x:v>
      </x:c>
      <x:c r="E139" t="str">
        <x:v>evelyn.anderson995@northmail.com</x:v>
      </x:c>
      <x:c r="F139" t="str">
        <x:v>(842) 267-4453</x:v>
      </x:c>
      <x:c r="G139" t="str">
        <x:v>CO</x:v>
      </x:c>
      <x:c r="H139" t="str">
        <x:v>Referral</x:v>
      </x:c>
      <x:c r="I139" t="str">
        <x:v>Opportunity</x:v>
      </x:c>
      <x:c r="J139" t="str">
        <x:v>Taylor Morgan</x:v>
      </x:c>
      <x:c r="K139" s="6" t="n">
        <x:v>46164</x:v>
      </x:c>
      <x:c r="L139" s="6" t="n">
        <x:v>46229</x:v>
      </x:c>
      <x:c r="M139" s="6" t="n">
        <x:v>46234</x:v>
      </x:c>
      <x:c r="N139" s="8" t="n">
        <x:v>80700</x:v>
      </x:c>
      <x:c r="O139" t="str">
        <x:v>Logistics</x:v>
      </x:c>
      <x:c r="P139" t="str">
        <x:v>Yes</x:v>
      </x:c>
      <x:c r="Q139" t="str">
        <x:v>No</x:v>
      </x:c>
      <x:c r="R139" s="6"/>
      <x:c r="S139" t="str">
        <x:f>IF(E139="","Unique",IF(COUNTIF($E$2:E139,E139)&gt;1,"Duplicate","Unique"))</x:f>
        <x:v>Unique</x:v>
      </x:c>
      <x:c r="T139" t="str">
        <x:f>IF(J139="Unassigned","Yes","No")</x:f>
        <x:v>No</x:v>
      </x:c>
      <x:c r="U139" t="str">
        <x:f>IF(AND(E139="",F139=""),"Yes","No")</x:f>
        <x:v>No</x:v>
      </x:c>
      <x:c r="V139" t="str">
        <x:f>IF(AND('Dashboard'!$B$2-L139&gt;30,I139&lt;&gt;"Closed Won",I139&lt;&gt;"Closed Lost"),"Yes","No")</x:f>
        <x:v>No</x:v>
      </x:c>
      <x:c r="W139" t="str">
        <x:f>IF(AND(M139&lt;&gt;"",M139&lt;'Dashboard'!$B$2,I139&lt;&gt;"Closed Won",I139&lt;&gt;"Closed Lost"),"Yes","No")</x:f>
        <x:v>Yes</x:v>
      </x:c>
      <x:c r="X139" t="str">
        <x:f>IF(OR(S139="Duplicate",T139="Yes",U139="Yes",D139="Unknown",W139="Yes"),"Yes","No")</x:f>
        <x:v>Yes</x:v>
      </x:c>
      <x:c r="Y139" t="n">
        <x:f>IF(S139="Duplicate",0,1)</x:f>
        <x:v>1</x:v>
      </x:c>
    </x:row>
    <x:row r="140">
      <x:c r="A140" t="str">
        <x:v>L-0139</x:v>
      </x:c>
      <x:c r="B140" t="str">
        <x:v>Isabella</x:v>
      </x:c>
      <x:c r="C140" t="str">
        <x:v>Johnson</x:v>
      </x:c>
      <x:c r="D140" t="str">
        <x:v>Brightpath Health</x:v>
      </x:c>
      <x:c r="E140" t="str">
        <x:v>isabella.johnson398@mailhub.net</x:v>
      </x:c>
      <x:c r="F140" t="str"/>
      <x:c r="G140" t="str">
        <x:v>CO</x:v>
      </x:c>
      <x:c r="H140" t="str">
        <x:v>Website</x:v>
      </x:c>
      <x:c r="I140" t="str">
        <x:v>Contacted</x:v>
      </x:c>
      <x:c r="J140" t="str">
        <x:v>Morgan Reed</x:v>
      </x:c>
      <x:c r="K140" s="6" t="n">
        <x:v>46228</x:v>
      </x:c>
      <x:c r="L140" s="6" t="n">
        <x:v>46246</x:v>
      </x:c>
      <x:c r="M140" s="6" t="n">
        <x:v>46256</x:v>
      </x:c>
      <x:c r="N140" s="8" t="n">
        <x:v>77700</x:v>
      </x:c>
      <x:c r="O140" t="str">
        <x:v>Technology</x:v>
      </x:c>
      <x:c r="P140" t="str">
        <x:v>No</x:v>
      </x:c>
      <x:c r="Q140" t="str">
        <x:v>No</x:v>
      </x:c>
      <x:c r="R140" s="6"/>
      <x:c r="S140" t="str">
        <x:f>IF(E140="","Unique",IF(COUNTIF($E$2:E140,E140)&gt;1,"Duplicate","Unique"))</x:f>
        <x:v>Unique</x:v>
      </x:c>
      <x:c r="T140" t="str">
        <x:f>IF(J140="Unassigned","Yes","No")</x:f>
        <x:v>No</x:v>
      </x:c>
      <x:c r="U140" t="str">
        <x:f>IF(AND(E140="",F140=""),"Yes","No")</x:f>
        <x:v>No</x:v>
      </x:c>
      <x:c r="V140" t="str">
        <x:f>IF(AND('Dashboard'!$B$2-L140&gt;30,I140&lt;&gt;"Closed Won",I140&lt;&gt;"Closed Lost"),"Yes","No")</x:f>
        <x:v>No</x:v>
      </x:c>
      <x:c r="W140" t="str">
        <x:f>IF(AND(M140&lt;&gt;"",M140&lt;'Dashboard'!$B$2,I140&lt;&gt;"Closed Won",I140&lt;&gt;"Closed Lost"),"Yes","No")</x:f>
        <x:v>No</x:v>
      </x:c>
      <x:c r="X140" t="str">
        <x:f>IF(OR(S140="Duplicate",T140="Yes",U140="Yes",D140="Unknown",W140="Yes"),"Yes","No")</x:f>
        <x:v>No</x:v>
      </x:c>
      <x:c r="Y140" t="n">
        <x:f>IF(S140="Duplicate",0,1)</x:f>
        <x:v>1</x:v>
      </x:c>
    </x:row>
    <x:row r="141">
      <x:c r="A141" t="str">
        <x:v>L-0140</x:v>
      </x:c>
      <x:c r="B141" t="str">
        <x:v>Lucas</x:v>
      </x:c>
      <x:c r="C141" t="str">
        <x:v>Moore</x:v>
      </x:c>
      <x:c r="D141" t="str">
        <x:v>Silverline Foods</x:v>
      </x:c>
      <x:c r="E141" t="str">
        <x:v>lucas.moore303@examplebiz.com</x:v>
      </x:c>
      <x:c r="F141" t="str">
        <x:v>(506) 893-7113</x:v>
      </x:c>
      <x:c r="G141" t="str">
        <x:v>OH</x:v>
      </x:c>
      <x:c r="H141" t="str">
        <x:v>Website</x:v>
      </x:c>
      <x:c r="I141" t="str">
        <x:v>New</x:v>
      </x:c>
      <x:c r="J141" t="str">
        <x:v>Unassigned</x:v>
      </x:c>
      <x:c r="K141" s="6" t="n">
        <x:v>46190</x:v>
      </x:c>
      <x:c r="L141" s="6" t="n">
        <x:v>46198</x:v>
      </x:c>
      <x:c r="M141" s="6" t="n">
        <x:v>46213</x:v>
      </x:c>
      <x:c r="N141" s="8" t="n">
        <x:v>68200</x:v>
      </x:c>
      <x:c r="O141" t="str">
        <x:v>Professional Services</x:v>
      </x:c>
      <x:c r="P141" t="str">
        <x:v>No</x:v>
      </x:c>
      <x:c r="Q141" t="str">
        <x:v>No</x:v>
      </x:c>
      <x:c r="R141" s="6"/>
      <x:c r="S141" t="str">
        <x:f>IF(E141="","Unique",IF(COUNTIF($E$2:E141,E141)&gt;1,"Duplicate","Unique"))</x:f>
        <x:v>Unique</x:v>
      </x:c>
      <x:c r="T141" t="str">
        <x:f>IF(J141="Unassigned","Yes","No")</x:f>
        <x:v>Yes</x:v>
      </x:c>
      <x:c r="U141" t="str">
        <x:f>IF(AND(E141="",F141=""),"Yes","No")</x:f>
        <x:v>No</x:v>
      </x:c>
      <x:c r="V141" t="str">
        <x:f>IF(AND('Dashboard'!$B$2-L141&gt;30,I141&lt;&gt;"Closed Won",I141&lt;&gt;"Closed Lost"),"Yes","No")</x:f>
        <x:v>Yes</x:v>
      </x:c>
      <x:c r="W141" t="str">
        <x:f>IF(AND(M141&lt;&gt;"",M141&lt;'Dashboard'!$B$2,I141&lt;&gt;"Closed Won",I141&lt;&gt;"Closed Lost"),"Yes","No")</x:f>
        <x:v>Yes</x:v>
      </x:c>
      <x:c r="X141" t="str">
        <x:f>IF(OR(S141="Duplicate",T141="Yes",U141="Yes",D141="Unknown",W141="Yes"),"Yes","No")</x:f>
        <x:v>Yes</x:v>
      </x:c>
      <x:c r="Y141" t="n">
        <x:f>IF(S141="Duplicate",0,1)</x:f>
        <x:v>1</x:v>
      </x:c>
    </x:row>
    <x:row r="142">
      <x:c r="A142" t="str">
        <x:v>L-0141</x:v>
      </x:c>
      <x:c r="B142" t="str">
        <x:v>James</x:v>
      </x:c>
      <x:c r="C142" t="str">
        <x:v>Martin</x:v>
      </x:c>
      <x:c r="D142" t="str">
        <x:v>Blue Ridge Supply</x:v>
      </x:c>
      <x:c r="E142" t="str">
        <x:v>james.martin873@northmail.com</x:v>
      </x:c>
      <x:c r="F142" t="str">
        <x:v>970-762-8557</x:v>
      </x:c>
      <x:c r="G142" t="str">
        <x:v>CA</x:v>
      </x:c>
      <x:c r="H142" t="str">
        <x:v>Website</x:v>
      </x:c>
      <x:c r="I142" t="str">
        <x:v>Closed Won</x:v>
      </x:c>
      <x:c r="J142" t="str">
        <x:v>Alex Kim</x:v>
      </x:c>
      <x:c r="K142" s="6" t="n">
        <x:v>46197</x:v>
      </x:c>
      <x:c r="L142" s="6" t="n">
        <x:v>46204</x:v>
      </x:c>
      <x:c r="M142" s="6"/>
      <x:c r="N142" s="8" t="n">
        <x:v>17500</x:v>
      </x:c>
      <x:c r="O142" t="str">
        <x:v>Manufacturing</x:v>
      </x:c>
      <x:c r="P142" t="str">
        <x:v>Yes</x:v>
      </x:c>
      <x:c r="Q142" t="str">
        <x:v>Yes</x:v>
      </x:c>
      <x:c r="R142" s="6" t="n">
        <x:v>46209</x:v>
      </x:c>
      <x:c r="S142" t="str">
        <x:f>IF(E142="","Unique",IF(COUNTIF($E$2:E142,E142)&gt;1,"Duplicate","Unique"))</x:f>
        <x:v>Unique</x:v>
      </x:c>
      <x:c r="T142" t="str">
        <x:f>IF(J142="Unassigned","Yes","No")</x:f>
        <x:v>No</x:v>
      </x:c>
      <x:c r="U142" t="str">
        <x:f>IF(AND(E142="",F142=""),"Yes","No")</x:f>
        <x:v>No</x:v>
      </x:c>
      <x:c r="V142" t="str">
        <x:f>IF(AND('Dashboard'!$B$2-L142&gt;30,I142&lt;&gt;"Closed Won",I142&lt;&gt;"Closed Lost"),"Yes","No")</x:f>
        <x:v>No</x:v>
      </x:c>
      <x:c r="W142" t="str">
        <x:f>IF(AND(M142&lt;&gt;"",M142&lt;'Dashboard'!$B$2,I142&lt;&gt;"Closed Won",I142&lt;&gt;"Closed Lost"),"Yes","No")</x:f>
        <x:v>No</x:v>
      </x:c>
      <x:c r="X142" t="str">
        <x:f>IF(OR(S142="Duplicate",T142="Yes",U142="Yes",D142="Unknown",W142="Yes"),"Yes","No")</x:f>
        <x:v>No</x:v>
      </x:c>
      <x:c r="Y142" t="n">
        <x:f>IF(S142="Duplicate",0,1)</x:f>
        <x:v>1</x:v>
      </x:c>
    </x:row>
    <x:row r="143">
      <x:c r="A143" t="str">
        <x:v>L-0142</x:v>
      </x:c>
      <x:c r="B143" t="str">
        <x:v>Isabella</x:v>
      </x:c>
      <x:c r="C143" t="str">
        <x:v>Thompson</x:v>
      </x:c>
      <x:c r="D143" t="str">
        <x:v>Evergreen Services</x:v>
      </x:c>
      <x:c r="E143" t="str">
        <x:v>isabella.thompson805@examplebiz.com</x:v>
      </x:c>
      <x:c r="F143" t="str">
        <x:v>(930) 957-8145</x:v>
      </x:c>
      <x:c r="G143" t="str">
        <x:v>WA</x:v>
      </x:c>
      <x:c r="H143" t="str">
        <x:v>Trade Show</x:v>
      </x:c>
      <x:c r="I143" t="str">
        <x:v>Closed Won</x:v>
      </x:c>
      <x:c r="J143" t="str">
        <x:v>Taylor Morgan</x:v>
      </x:c>
      <x:c r="K143" s="6" t="n">
        <x:v>46137</x:v>
      </x:c>
      <x:c r="L143" s="6" t="n">
        <x:v>46158</x:v>
      </x:c>
      <x:c r="M143" s="6"/>
      <x:c r="N143" s="8" t="n">
        <x:v>2900</x:v>
      </x:c>
      <x:c r="O143" t="str">
        <x:v>Manufacturing</x:v>
      </x:c>
      <x:c r="P143" t="str">
        <x:v>Yes</x:v>
      </x:c>
      <x:c r="Q143" t="str">
        <x:v>Yes</x:v>
      </x:c>
      <x:c r="R143" s="6" t="n">
        <x:v>46162</x:v>
      </x:c>
      <x:c r="S143" t="str">
        <x:f>IF(E143="","Unique",IF(COUNTIF($E$2:E143,E143)&gt;1,"Duplicate","Unique"))</x:f>
        <x:v>Unique</x:v>
      </x:c>
      <x:c r="T143" t="str">
        <x:f>IF(J143="Unassigned","Yes","No")</x:f>
        <x:v>No</x:v>
      </x:c>
      <x:c r="U143" t="str">
        <x:f>IF(AND(E143="",F143=""),"Yes","No")</x:f>
        <x:v>No</x:v>
      </x:c>
      <x:c r="V143" t="str">
        <x:f>IF(AND('Dashboard'!$B$2-L143&gt;30,I143&lt;&gt;"Closed Won",I143&lt;&gt;"Closed Lost"),"Yes","No")</x:f>
        <x:v>No</x:v>
      </x:c>
      <x:c r="W143" t="str">
        <x:f>IF(AND(M143&lt;&gt;"",M143&lt;'Dashboard'!$B$2,I143&lt;&gt;"Closed Won",I143&lt;&gt;"Closed Lost"),"Yes","No")</x:f>
        <x:v>No</x:v>
      </x:c>
      <x:c r="X143" t="str">
        <x:f>IF(OR(S143="Duplicate",T143="Yes",U143="Yes",D143="Unknown",W143="Yes"),"Yes","No")</x:f>
        <x:v>No</x:v>
      </x:c>
      <x:c r="Y143" t="n">
        <x:f>IF(S143="Duplicate",0,1)</x:f>
        <x:v>1</x:v>
      </x:c>
    </x:row>
    <x:row r="144">
      <x:c r="A144" t="str">
        <x:v>L-0143</x:v>
      </x:c>
      <x:c r="B144" t="str">
        <x:v>Mia</x:v>
      </x:c>
      <x:c r="C144" t="str">
        <x:v>Williams</x:v>
      </x:c>
      <x:c r="D144" t="str">
        <x:v>Northstar Labs</x:v>
      </x:c>
      <x:c r="E144" t="str">
        <x:v>mia.williams557@mailhub.net</x:v>
      </x:c>
      <x:c r="F144" t="str">
        <x:v>(870) 993-3435</x:v>
      </x:c>
      <x:c r="G144" t="str">
        <x:v>WA</x:v>
      </x:c>
      <x:c r="H144" t="str">
        <x:v>Trade Show</x:v>
      </x:c>
      <x:c r="I144" t="str">
        <x:v>Closed Won</x:v>
      </x:c>
      <x:c r="J144" t="str">
        <x:v>Casey Patel</x:v>
      </x:c>
      <x:c r="K144" s="6" t="n">
        <x:v>46192</x:v>
      </x:c>
      <x:c r="L144" s="6" t="n">
        <x:v>46250</x:v>
      </x:c>
      <x:c r="M144" s="6"/>
      <x:c r="N144" s="8" t="n">
        <x:v>5500</x:v>
      </x:c>
      <x:c r="O144" t="str">
        <x:v>Healthcare</x:v>
      </x:c>
      <x:c r="P144" t="str">
        <x:v>Yes</x:v>
      </x:c>
      <x:c r="Q144" t="str">
        <x:v>Yes</x:v>
      </x:c>
      <x:c r="R144" s="6" t="n">
        <x:v>46251</x:v>
      </x:c>
      <x:c r="S144" t="str">
        <x:f>IF(E144="","Unique",IF(COUNTIF($E$2:E144,E144)&gt;1,"Duplicate","Unique"))</x:f>
        <x:v>Unique</x:v>
      </x:c>
      <x:c r="T144" t="str">
        <x:f>IF(J144="Unassigned","Yes","No")</x:f>
        <x:v>No</x:v>
      </x:c>
      <x:c r="U144" t="str">
        <x:f>IF(AND(E144="",F144=""),"Yes","No")</x:f>
        <x:v>No</x:v>
      </x:c>
      <x:c r="V144" t="str">
        <x:f>IF(AND('Dashboard'!$B$2-L144&gt;30,I144&lt;&gt;"Closed Won",I144&lt;&gt;"Closed Lost"),"Yes","No")</x:f>
        <x:v>No</x:v>
      </x:c>
      <x:c r="W144" t="str">
        <x:f>IF(AND(M144&lt;&gt;"",M144&lt;'Dashboard'!$B$2,I144&lt;&gt;"Closed Won",I144&lt;&gt;"Closed Lost"),"Yes","No")</x:f>
        <x:v>No</x:v>
      </x:c>
      <x:c r="X144" t="str">
        <x:f>IF(OR(S144="Duplicate",T144="Yes",U144="Yes",D144="Unknown",W144="Yes"),"Yes","No")</x:f>
        <x:v>No</x:v>
      </x:c>
      <x:c r="Y144" t="n">
        <x:f>IF(S144="Duplicate",0,1)</x:f>
        <x:v>1</x:v>
      </x:c>
    </x:row>
    <x:row r="145">
      <x:c r="A145" t="str">
        <x:v>L-0144</x:v>
      </x:c>
      <x:c r="B145" t="str">
        <x:v>Ethan</x:v>
      </x:c>
      <x:c r="C145" t="str">
        <x:v>Perez</x:v>
      </x:c>
      <x:c r="D145" t="str">
        <x:v>Blue Ridge Supply</x:v>
      </x:c>
      <x:c r="E145" t="str">
        <x:v>ethan.perez44@examplebiz.com</x:v>
      </x:c>
      <x:c r="F145" t="str">
        <x:v>(731) 569-7358</x:v>
      </x:c>
      <x:c r="G145" t="str">
        <x:v>IL</x:v>
      </x:c>
      <x:c r="H145" t="str">
        <x:v>Website</x:v>
      </x:c>
      <x:c r="I145" t="str">
        <x:v>Closed Won</x:v>
      </x:c>
      <x:c r="J145" t="str">
        <x:v>Taylor Morgan</x:v>
      </x:c>
      <x:c r="K145" s="6" t="n">
        <x:v>46187</x:v>
      </x:c>
      <x:c r="L145" s="6" t="n">
        <x:v>46195</x:v>
      </x:c>
      <x:c r="M145" s="6"/>
      <x:c r="N145" s="8" t="n">
        <x:v>24300</x:v>
      </x:c>
      <x:c r="O145" t="str">
        <x:v>Logistics</x:v>
      </x:c>
      <x:c r="P145" t="str">
        <x:v>Yes</x:v>
      </x:c>
      <x:c r="Q145" t="str">
        <x:v>Yes</x:v>
      </x:c>
      <x:c r="R145" s="6" t="n">
        <x:v>46203</x:v>
      </x:c>
      <x:c r="S145" t="str">
        <x:f>IF(E145="","Unique",IF(COUNTIF($E$2:E145,E145)&gt;1,"Duplicate","Unique"))</x:f>
        <x:v>Unique</x:v>
      </x:c>
      <x:c r="T145" t="str">
        <x:f>IF(J145="Unassigned","Yes","No")</x:f>
        <x:v>No</x:v>
      </x:c>
      <x:c r="U145" t="str">
        <x:f>IF(AND(E145="",F145=""),"Yes","No")</x:f>
        <x:v>No</x:v>
      </x:c>
      <x:c r="V145" t="str">
        <x:f>IF(AND('Dashboard'!$B$2-L145&gt;30,I145&lt;&gt;"Closed Won",I145&lt;&gt;"Closed Lost"),"Yes","No")</x:f>
        <x:v>No</x:v>
      </x:c>
      <x:c r="W145" t="str">
        <x:f>IF(AND(M145&lt;&gt;"",M145&lt;'Dashboard'!$B$2,I145&lt;&gt;"Closed Won",I145&lt;&gt;"Closed Lost"),"Yes","No")</x:f>
        <x:v>No</x:v>
      </x:c>
      <x:c r="X145" t="str">
        <x:f>IF(OR(S145="Duplicate",T145="Yes",U145="Yes",D145="Unknown",W145="Yes"),"Yes","No")</x:f>
        <x:v>No</x:v>
      </x:c>
      <x:c r="Y145" t="n">
        <x:f>IF(S145="Duplicate",0,1)</x:f>
        <x:v>1</x:v>
      </x:c>
    </x:row>
    <x:row r="146">
      <x:c r="A146" t="str">
        <x:v>L-0145</x:v>
      </x:c>
      <x:c r="B146" t="str">
        <x:v>Mia</x:v>
      </x:c>
      <x:c r="C146" t="str">
        <x:v>Martin</x:v>
      </x:c>
      <x:c r="D146" t="str">
        <x:v>Horizon Bio</x:v>
      </x:c>
      <x:c r="E146" t="str">
        <x:v>mia.martin514@examplebiz.com</x:v>
      </x:c>
      <x:c r="F146" t="str">
        <x:v>(651) 369-4768</x:v>
      </x:c>
      <x:c r="G146" t="str">
        <x:v>FL</x:v>
      </x:c>
      <x:c r="H146" t="str">
        <x:v>Webinar</x:v>
      </x:c>
      <x:c r="I146" t="str">
        <x:v>Contacted</x:v>
      </x:c>
      <x:c r="J146" t="str">
        <x:v>Jordan Lee</x:v>
      </x:c>
      <x:c r="K146" s="6" t="n">
        <x:v>46158</x:v>
      </x:c>
      <x:c r="L146" s="6" t="n">
        <x:v>46220</x:v>
      </x:c>
      <x:c r="M146" s="6" t="n">
        <x:v>46238</x:v>
      </x:c>
      <x:c r="N146" s="8" t="n">
        <x:v>75700</x:v>
      </x:c>
      <x:c r="O146" t="str">
        <x:v>Professional Services</x:v>
      </x:c>
      <x:c r="P146" t="str">
        <x:v>No</x:v>
      </x:c>
      <x:c r="Q146" t="str">
        <x:v>No</x:v>
      </x:c>
      <x:c r="R146" s="6"/>
      <x:c r="S146" t="str">
        <x:f>IF(E146="","Unique",IF(COUNTIF($E$2:E146,E146)&gt;1,"Duplicate","Unique"))</x:f>
        <x:v>Unique</x:v>
      </x:c>
      <x:c r="T146" t="str">
        <x:f>IF(J146="Unassigned","Yes","No")</x:f>
        <x:v>No</x:v>
      </x:c>
      <x:c r="U146" t="str">
        <x:f>IF(AND(E146="",F146=""),"Yes","No")</x:f>
        <x:v>No</x:v>
      </x:c>
      <x:c r="V146" t="str">
        <x:f>IF(AND('Dashboard'!$B$2-L146&gt;30,I146&lt;&gt;"Closed Won",I146&lt;&gt;"Closed Lost"),"Yes","No")</x:f>
        <x:v>Yes</x:v>
      </x:c>
      <x:c r="W146" t="str">
        <x:f>IF(AND(M146&lt;&gt;"",M146&lt;'Dashboard'!$B$2,I146&lt;&gt;"Closed Won",I146&lt;&gt;"Closed Lost"),"Yes","No")</x:f>
        <x:v>Yes</x:v>
      </x:c>
      <x:c r="X146" t="str">
        <x:f>IF(OR(S146="Duplicate",T146="Yes",U146="Yes",D146="Unknown",W146="Yes"),"Yes","No")</x:f>
        <x:v>Yes</x:v>
      </x:c>
      <x:c r="Y146" t="n">
        <x:f>IF(S146="Duplicate",0,1)</x:f>
        <x:v>1</x:v>
      </x:c>
    </x:row>
    <x:row r="147">
      <x:c r="A147" t="str">
        <x:v>L-0146</x:v>
      </x:c>
      <x:c r="B147" t="str">
        <x:v>Ethan</x:v>
      </x:c>
      <x:c r="C147" t="str">
        <x:v>Taylor</x:v>
      </x:c>
      <x:c r="D147" t="str">
        <x:v>Northstar Labs</x:v>
      </x:c>
      <x:c r="E147" t="str">
        <x:v>ethan.taylor58@examplebiz.com</x:v>
      </x:c>
      <x:c r="F147" t="str"/>
      <x:c r="G147" t="str">
        <x:v>CO</x:v>
      </x:c>
      <x:c r="H147" t="str">
        <x:v>Website</x:v>
      </x:c>
      <x:c r="I147" t="str">
        <x:v>Qualified</x:v>
      </x:c>
      <x:c r="J147" t="str">
        <x:v>Taylor Morgan</x:v>
      </x:c>
      <x:c r="K147" s="6" t="n">
        <x:v>46212</x:v>
      </x:c>
      <x:c r="L147" s="6" t="n">
        <x:v>46244</x:v>
      </x:c>
      <x:c r="M147" s="6" t="n">
        <x:v>46248</x:v>
      </x:c>
      <x:c r="N147" s="8" t="n">
        <x:v>76000</x:v>
      </x:c>
      <x:c r="O147" t="str">
        <x:v>Retail</x:v>
      </x:c>
      <x:c r="P147" t="str">
        <x:v>Yes</x:v>
      </x:c>
      <x:c r="Q147" t="str">
        <x:v>No</x:v>
      </x:c>
      <x:c r="R147" s="6"/>
      <x:c r="S147" t="str">
        <x:f>IF(E147="","Unique",IF(COUNTIF($E$2:E147,E147)&gt;1,"Duplicate","Unique"))</x:f>
        <x:v>Unique</x:v>
      </x:c>
      <x:c r="T147" t="str">
        <x:f>IF(J147="Unassigned","Yes","No")</x:f>
        <x:v>No</x:v>
      </x:c>
      <x:c r="U147" t="str">
        <x:f>IF(AND(E147="",F147=""),"Yes","No")</x:f>
        <x:v>No</x:v>
      </x:c>
      <x:c r="V147" t="str">
        <x:f>IF(AND('Dashboard'!$B$2-L147&gt;30,I147&lt;&gt;"Closed Won",I147&lt;&gt;"Closed Lost"),"Yes","No")</x:f>
        <x:v>No</x:v>
      </x:c>
      <x:c r="W147" t="str">
        <x:f>IF(AND(M147&lt;&gt;"",M147&lt;'Dashboard'!$B$2,I147&lt;&gt;"Closed Won",I147&lt;&gt;"Closed Lost"),"Yes","No")</x:f>
        <x:v>Yes</x:v>
      </x:c>
      <x:c r="X147" t="str">
        <x:f>IF(OR(S147="Duplicate",T147="Yes",U147="Yes",D147="Unknown",W147="Yes"),"Yes","No")</x:f>
        <x:v>Yes</x:v>
      </x:c>
      <x:c r="Y147" t="n">
        <x:f>IF(S147="Duplicate",0,1)</x:f>
        <x:v>1</x:v>
      </x:c>
    </x:row>
    <x:row r="148">
      <x:c r="A148" t="str">
        <x:v>L-0147</x:v>
      </x:c>
      <x:c r="B148" t="str">
        <x:v>Henry</x:v>
      </x:c>
      <x:c r="C148" t="str">
        <x:v>Jones</x:v>
      </x:c>
      <x:c r="D148" t="str">
        <x:v>Cedarworks</x:v>
      </x:c>
      <x:c r="E148" t="str">
        <x:v>henry.jones395@examplebiz.com</x:v>
      </x:c>
      <x:c r="F148" t="str">
        <x:v>(312) 216-4315</x:v>
      </x:c>
      <x:c r="G148" t="str">
        <x:v>CA</x:v>
      </x:c>
      <x:c r="H148" t="str">
        <x:v>LinkedIn</x:v>
      </x:c>
      <x:c r="I148" t="str">
        <x:v>Contacted</x:v>
      </x:c>
      <x:c r="J148" t="str">
        <x:v>Morgan Reed</x:v>
      </x:c>
      <x:c r="K148" s="6" t="n">
        <x:v>46130</x:v>
      </x:c>
      <x:c r="L148" s="6" t="n">
        <x:v>46206</x:v>
      </x:c>
      <x:c r="M148" s="6" t="n">
        <x:v>46227</x:v>
      </x:c>
      <x:c r="N148" s="8" t="n">
        <x:v>8200</x:v>
      </x:c>
      <x:c r="O148" t="str">
        <x:v>Financial Services</x:v>
      </x:c>
      <x:c r="P148" t="str">
        <x:v>No</x:v>
      </x:c>
      <x:c r="Q148" t="str">
        <x:v>No</x:v>
      </x:c>
      <x:c r="R148" s="6"/>
      <x:c r="S148" t="str">
        <x:f>IF(E148="","Unique",IF(COUNTIF($E$2:E148,E148)&gt;1,"Duplicate","Unique"))</x:f>
        <x:v>Unique</x:v>
      </x:c>
      <x:c r="T148" t="str">
        <x:f>IF(J148="Unassigned","Yes","No")</x:f>
        <x:v>No</x:v>
      </x:c>
      <x:c r="U148" t="str">
        <x:f>IF(AND(E148="",F148=""),"Yes","No")</x:f>
        <x:v>No</x:v>
      </x:c>
      <x:c r="V148" t="str">
        <x:f>IF(AND('Dashboard'!$B$2-L148&gt;30,I148&lt;&gt;"Closed Won",I148&lt;&gt;"Closed Lost"),"Yes","No")</x:f>
        <x:v>Yes</x:v>
      </x:c>
      <x:c r="W148" t="str">
        <x:f>IF(AND(M148&lt;&gt;"",M148&lt;'Dashboard'!$B$2,I148&lt;&gt;"Closed Won",I148&lt;&gt;"Closed Lost"),"Yes","No")</x:f>
        <x:v>Yes</x:v>
      </x:c>
      <x:c r="X148" t="str">
        <x:f>IF(OR(S148="Duplicate",T148="Yes",U148="Yes",D148="Unknown",W148="Yes"),"Yes","No")</x:f>
        <x:v>Yes</x:v>
      </x:c>
      <x:c r="Y148" t="n">
        <x:f>IF(S148="Duplicate",0,1)</x:f>
        <x:v>1</x:v>
      </x:c>
    </x:row>
    <x:row r="149">
      <x:c r="A149" t="str">
        <x:v>L-0148</x:v>
      </x:c>
      <x:c r="B149" t="str">
        <x:v>Henry</x:v>
      </x:c>
      <x:c r="C149" t="str">
        <x:v>Lee</x:v>
      </x:c>
      <x:c r="D149" t="str">
        <x:v>Northstar Labs</x:v>
      </x:c>
      <x:c r="E149" t="str">
        <x:v>henry.lee809@mailhub.net</x:v>
      </x:c>
      <x:c r="F149" t="str">
        <x:v>(559) 803-2600</x:v>
      </x:c>
      <x:c r="G149" t="str">
        <x:v>GA</x:v>
      </x:c>
      <x:c r="H149" t="str">
        <x:v>Webinar</x:v>
      </x:c>
      <x:c r="I149" t="str">
        <x:v>Closed Won</x:v>
      </x:c>
      <x:c r="J149" t="str">
        <x:v>Morgan Reed</x:v>
      </x:c>
      <x:c r="K149" s="6" t="n">
        <x:v>46068</x:v>
      </x:c>
      <x:c r="L149" s="6" t="n">
        <x:v>46203</x:v>
      </x:c>
      <x:c r="M149" s="6"/>
      <x:c r="N149" s="8" t="n">
        <x:v>37900</x:v>
      </x:c>
      <x:c r="O149" t="str">
        <x:v>Professional Services</x:v>
      </x:c>
      <x:c r="P149" t="str">
        <x:v>Yes</x:v>
      </x:c>
      <x:c r="Q149" t="str">
        <x:v>Yes</x:v>
      </x:c>
      <x:c r="R149" s="6" t="n">
        <x:v>46211</x:v>
      </x:c>
      <x:c r="S149" t="str">
        <x:f>IF(E149="","Unique",IF(COUNTIF($E$2:E149,E149)&gt;1,"Duplicate","Unique"))</x:f>
        <x:v>Unique</x:v>
      </x:c>
      <x:c r="T149" t="str">
        <x:f>IF(J149="Unassigned","Yes","No")</x:f>
        <x:v>No</x:v>
      </x:c>
      <x:c r="U149" t="str">
        <x:f>IF(AND(E149="",F149=""),"Yes","No")</x:f>
        <x:v>No</x:v>
      </x:c>
      <x:c r="V149" t="str">
        <x:f>IF(AND('Dashboard'!$B$2-L149&gt;30,I149&lt;&gt;"Closed Won",I149&lt;&gt;"Closed Lost"),"Yes","No")</x:f>
        <x:v>No</x:v>
      </x:c>
      <x:c r="W149" t="str">
        <x:f>IF(AND(M149&lt;&gt;"",M149&lt;'Dashboard'!$B$2,I149&lt;&gt;"Closed Won",I149&lt;&gt;"Closed Lost"),"Yes","No")</x:f>
        <x:v>No</x:v>
      </x:c>
      <x:c r="X149" t="str">
        <x:f>IF(OR(S149="Duplicate",T149="Yes",U149="Yes",D149="Unknown",W149="Yes"),"Yes","No")</x:f>
        <x:v>No</x:v>
      </x:c>
      <x:c r="Y149" t="n">
        <x:f>IF(S149="Duplicate",0,1)</x:f>
        <x:v>1</x:v>
      </x:c>
    </x:row>
    <x:row r="150">
      <x:c r="A150" t="str">
        <x:v>L-0149</x:v>
      </x:c>
      <x:c r="B150" t="str">
        <x:v>Olivia</x:v>
      </x:c>
      <x:c r="C150" t="str">
        <x:v>Wilson</x:v>
      </x:c>
      <x:c r="D150" t="str">
        <x:v>Vertex Solutions</x:v>
      </x:c>
      <x:c r="E150" t="str">
        <x:v>olivia.wilson627@prospect.co</x:v>
      </x:c>
      <x:c r="F150" t="str">
        <x:v>(897) 606-4337</x:v>
      </x:c>
      <x:c r="G150" t="str">
        <x:v>TX</x:v>
      </x:c>
      <x:c r="H150" t="str">
        <x:v>Website</x:v>
      </x:c>
      <x:c r="I150" t="str">
        <x:v>Opportunity</x:v>
      </x:c>
      <x:c r="J150" t="str">
        <x:v>Casey Patel</x:v>
      </x:c>
      <x:c r="K150" s="6" t="n">
        <x:v>46182</x:v>
      </x:c>
      <x:c r="L150" s="6" t="n">
        <x:v>46215</x:v>
      </x:c>
      <x:c r="M150" s="6" t="n">
        <x:v>46235</x:v>
      </x:c>
      <x:c r="N150" s="8" t="n">
        <x:v>37400</x:v>
      </x:c>
      <x:c r="O150" t="str">
        <x:v>Biotech</x:v>
      </x:c>
      <x:c r="P150" t="str">
        <x:v>Yes</x:v>
      </x:c>
      <x:c r="Q150" t="str">
        <x:v>No</x:v>
      </x:c>
      <x:c r="R150" s="6"/>
      <x:c r="S150" t="str">
        <x:f>IF(E150="","Unique",IF(COUNTIF($E$2:E150,E150)&gt;1,"Duplicate","Unique"))</x:f>
        <x:v>Unique</x:v>
      </x:c>
      <x:c r="T150" t="str">
        <x:f>IF(J150="Unassigned","Yes","No")</x:f>
        <x:v>No</x:v>
      </x:c>
      <x:c r="U150" t="str">
        <x:f>IF(AND(E150="",F150=""),"Yes","No")</x:f>
        <x:v>No</x:v>
      </x:c>
      <x:c r="V150" t="str">
        <x:f>IF(AND('Dashboard'!$B$2-L150&gt;30,I150&lt;&gt;"Closed Won",I150&lt;&gt;"Closed Lost"),"Yes","No")</x:f>
        <x:v>Yes</x:v>
      </x:c>
      <x:c r="W150" t="str">
        <x:f>IF(AND(M150&lt;&gt;"",M150&lt;'Dashboard'!$B$2,I150&lt;&gt;"Closed Won",I150&lt;&gt;"Closed Lost"),"Yes","No")</x:f>
        <x:v>Yes</x:v>
      </x:c>
      <x:c r="X150" t="str">
        <x:f>IF(OR(S150="Duplicate",T150="Yes",U150="Yes",D150="Unknown",W150="Yes"),"Yes","No")</x:f>
        <x:v>Yes</x:v>
      </x:c>
      <x:c r="Y150" t="n">
        <x:f>IF(S150="Duplicate",0,1)</x:f>
        <x:v>1</x:v>
      </x:c>
    </x:row>
    <x:row r="151">
      <x:c r="A151" t="str">
        <x:v>L-0150</x:v>
      </x:c>
      <x:c r="B151" t="str">
        <x:v>Ethan</x:v>
      </x:c>
      <x:c r="C151" t="str">
        <x:v>Brown</x:v>
      </x:c>
      <x:c r="D151" t="str">
        <x:v>Apex Manufacturing</x:v>
      </x:c>
      <x:c r="E151" t="str">
        <x:v>ethan.brown6@northmail.com</x:v>
      </x:c>
      <x:c r="F151" t="str">
        <x:v>349-682-8133</x:v>
      </x:c>
      <x:c r="G151" t="str">
        <x:v>IL</x:v>
      </x:c>
      <x:c r="H151" t="str">
        <x:v>Email Campaign</x:v>
      </x:c>
      <x:c r="I151" t="str">
        <x:v>Opportunity</x:v>
      </x:c>
      <x:c r="J151" t="str">
        <x:v>Jamie Brooks</x:v>
      </x:c>
      <x:c r="K151" s="6" t="n">
        <x:v>46071</x:v>
      </x:c>
      <x:c r="L151" s="6" t="n">
        <x:v>46251</x:v>
      </x:c>
      <x:c r="M151" s="6" t="n">
        <x:v>46255</x:v>
      </x:c>
      <x:c r="N151" s="8" t="n">
        <x:v>15800</x:v>
      </x:c>
      <x:c r="O151" t="str">
        <x:v>Professional Services</x:v>
      </x:c>
      <x:c r="P151" t="str">
        <x:v>Yes</x:v>
      </x:c>
      <x:c r="Q151" t="str">
        <x:v>No</x:v>
      </x:c>
      <x:c r="R151" s="6"/>
      <x:c r="S151" t="str">
        <x:f>IF(E151="","Unique",IF(COUNTIF($E$2:E151,E151)&gt;1,"Duplicate","Unique"))</x:f>
        <x:v>Unique</x:v>
      </x:c>
      <x:c r="T151" t="str">
        <x:f>IF(J151="Unassigned","Yes","No")</x:f>
        <x:v>No</x:v>
      </x:c>
      <x:c r="U151" t="str">
        <x:f>IF(AND(E151="",F151=""),"Yes","No")</x:f>
        <x:v>No</x:v>
      </x:c>
      <x:c r="V151" t="str">
        <x:f>IF(AND('Dashboard'!$B$2-L151&gt;30,I151&lt;&gt;"Closed Won",I151&lt;&gt;"Closed Lost"),"Yes","No")</x:f>
        <x:v>No</x:v>
      </x:c>
      <x:c r="W151" t="str">
        <x:f>IF(AND(M151&lt;&gt;"",M151&lt;'Dashboard'!$B$2,I151&lt;&gt;"Closed Won",I151&lt;&gt;"Closed Lost"),"Yes","No")</x:f>
        <x:v>No</x:v>
      </x:c>
      <x:c r="X151" t="str">
        <x:f>IF(OR(S151="Duplicate",T151="Yes",U151="Yes",D151="Unknown",W151="Yes"),"Yes","No")</x:f>
        <x:v>No</x:v>
      </x:c>
      <x:c r="Y151" t="n">
        <x:f>IF(S151="Duplicate",0,1)</x:f>
        <x:v>1</x:v>
      </x:c>
    </x:row>
    <x:row r="152">
      <x:c r="A152" t="str">
        <x:v>L-0151</x:v>
      </x:c>
      <x:c r="B152" t="str">
        <x:v>Ava</x:v>
      </x:c>
      <x:c r="C152" t="str">
        <x:v>Miller</x:v>
      </x:c>
      <x:c r="D152" t="str">
        <x:v>Evergreen Services</x:v>
      </x:c>
      <x:c r="E152" t="str">
        <x:v>ava.miller369@examplebiz.com</x:v>
      </x:c>
      <x:c r="F152" t="str">
        <x:v>(871) 200-3579</x:v>
      </x:c>
      <x:c r="G152" t="str">
        <x:v>CO</x:v>
      </x:c>
      <x:c r="H152" t="str">
        <x:v>Email Campaign</x:v>
      </x:c>
      <x:c r="I152" t="str">
        <x:v>Qualified</x:v>
      </x:c>
      <x:c r="J152" t="str">
        <x:v>Jordan Lee</x:v>
      </x:c>
      <x:c r="K152" s="6" t="n">
        <x:v>46068</x:v>
      </x:c>
      <x:c r="L152" s="6" t="n">
        <x:v>46127</x:v>
      </x:c>
      <x:c r="M152" s="6" t="n">
        <x:v>46149</x:v>
      </x:c>
      <x:c r="N152" s="8" t="n">
        <x:v>16500</x:v>
      </x:c>
      <x:c r="O152" t="str">
        <x:v>Retail</x:v>
      </x:c>
      <x:c r="P152" t="str">
        <x:v>Yes</x:v>
      </x:c>
      <x:c r="Q152" t="str">
        <x:v>No</x:v>
      </x:c>
      <x:c r="R152" s="6"/>
      <x:c r="S152" t="str">
        <x:f>IF(E152="","Unique",IF(COUNTIF($E$2:E152,E152)&gt;1,"Duplicate","Unique"))</x:f>
        <x:v>Unique</x:v>
      </x:c>
      <x:c r="T152" t="str">
        <x:f>IF(J152="Unassigned","Yes","No")</x:f>
        <x:v>No</x:v>
      </x:c>
      <x:c r="U152" t="str">
        <x:f>IF(AND(E152="",F152=""),"Yes","No")</x:f>
        <x:v>No</x:v>
      </x:c>
      <x:c r="V152" t="str">
        <x:f>IF(AND('Dashboard'!$B$2-L152&gt;30,I152&lt;&gt;"Closed Won",I152&lt;&gt;"Closed Lost"),"Yes","No")</x:f>
        <x:v>Yes</x:v>
      </x:c>
      <x:c r="W152" t="str">
        <x:f>IF(AND(M152&lt;&gt;"",M152&lt;'Dashboard'!$B$2,I152&lt;&gt;"Closed Won",I152&lt;&gt;"Closed Lost"),"Yes","No")</x:f>
        <x:v>Yes</x:v>
      </x:c>
      <x:c r="X152" t="str">
        <x:f>IF(OR(S152="Duplicate",T152="Yes",U152="Yes",D152="Unknown",W152="Yes"),"Yes","No")</x:f>
        <x:v>Yes</x:v>
      </x:c>
      <x:c r="Y152" t="n">
        <x:f>IF(S152="Duplicate",0,1)</x:f>
        <x:v>1</x:v>
      </x:c>
    </x:row>
    <x:row r="153">
      <x:c r="A153" t="str">
        <x:v>L-0152</x:v>
      </x:c>
      <x:c r="B153" t="str">
        <x:v>Sophia</x:v>
      </x:c>
      <x:c r="C153" t="str">
        <x:v>Davis</x:v>
      </x:c>
      <x:c r="D153" t="str">
        <x:v>Apex Manufacturing</x:v>
      </x:c>
      <x:c r="E153" t="str">
        <x:v>sophia.davis302@prospect.co</x:v>
      </x:c>
      <x:c r="F153" t="str">
        <x:v>(320) 725-5222</x:v>
      </x:c>
      <x:c r="G153" t="str">
        <x:v>AZ</x:v>
      </x:c>
      <x:c r="H153" t="str">
        <x:v>Trade Show</x:v>
      </x:c>
      <x:c r="I153" t="str">
        <x:v>Contacted</x:v>
      </x:c>
      <x:c r="J153" t="str">
        <x:v>Alex Kim</x:v>
      </x:c>
      <x:c r="K153" s="6" t="n">
        <x:v>46142</x:v>
      </x:c>
      <x:c r="L153" s="6" t="n">
        <x:v>46206</x:v>
      </x:c>
      <x:c r="M153" s="6" t="n">
        <x:v>46212</x:v>
      </x:c>
      <x:c r="N153" s="8" t="n">
        <x:v>48600</x:v>
      </x:c>
      <x:c r="O153" t="str">
        <x:v>Logistics</x:v>
      </x:c>
      <x:c r="P153" t="str">
        <x:v>No</x:v>
      </x:c>
      <x:c r="Q153" t="str">
        <x:v>No</x:v>
      </x:c>
      <x:c r="R153" s="6"/>
      <x:c r="S153" t="str">
        <x:f>IF(E153="","Unique",IF(COUNTIF($E$2:E153,E153)&gt;1,"Duplicate","Unique"))</x:f>
        <x:v>Unique</x:v>
      </x:c>
      <x:c r="T153" t="str">
        <x:f>IF(J153="Unassigned","Yes","No")</x:f>
        <x:v>No</x:v>
      </x:c>
      <x:c r="U153" t="str">
        <x:f>IF(AND(E153="",F153=""),"Yes","No")</x:f>
        <x:v>No</x:v>
      </x:c>
      <x:c r="V153" t="str">
        <x:f>IF(AND('Dashboard'!$B$2-L153&gt;30,I153&lt;&gt;"Closed Won",I153&lt;&gt;"Closed Lost"),"Yes","No")</x:f>
        <x:v>Yes</x:v>
      </x:c>
      <x:c r="W153" t="str">
        <x:f>IF(AND(M153&lt;&gt;"",M153&lt;'Dashboard'!$B$2,I153&lt;&gt;"Closed Won",I153&lt;&gt;"Closed Lost"),"Yes","No")</x:f>
        <x:v>Yes</x:v>
      </x:c>
      <x:c r="X153" t="str">
        <x:f>IF(OR(S153="Duplicate",T153="Yes",U153="Yes",D153="Unknown",W153="Yes"),"Yes","No")</x:f>
        <x:v>Yes</x:v>
      </x:c>
      <x:c r="Y153" t="n">
        <x:f>IF(S153="Duplicate",0,1)</x:f>
        <x:v>1</x:v>
      </x:c>
    </x:row>
    <x:row r="154">
      <x:c r="A154" t="str">
        <x:v>L-0153</x:v>
      </x:c>
      <x:c r="B154" t="str">
        <x:v>Mia</x:v>
      </x:c>
      <x:c r="C154" t="str">
        <x:v>Thomas</x:v>
      </x:c>
      <x:c r="D154" t="str">
        <x:v>Clearview Media</x:v>
      </x:c>
      <x:c r="E154" t="str">
        <x:v>mia.thomas295@northmail.com</x:v>
      </x:c>
      <x:c r="F154" t="str">
        <x:v>(609) 889-6603</x:v>
      </x:c>
      <x:c r="G154" t="str">
        <x:v>IL</x:v>
      </x:c>
      <x:c r="H154" t="str">
        <x:v>Referral</x:v>
      </x:c>
      <x:c r="I154" t="str">
        <x:v>Contacted</x:v>
      </x:c>
      <x:c r="J154" t="str">
        <x:v>Taylor Morgan</x:v>
      </x:c>
      <x:c r="K154" s="6" t="n">
        <x:v>46109</x:v>
      </x:c>
      <x:c r="L154" s="6" t="n">
        <x:v>46111</x:v>
      </x:c>
      <x:c r="M154" s="6" t="n">
        <x:v>46136</x:v>
      </x:c>
      <x:c r="N154" s="8" t="n">
        <x:v>71200</x:v>
      </x:c>
      <x:c r="O154" t="str">
        <x:v>Retail</x:v>
      </x:c>
      <x:c r="P154" t="str">
        <x:v>No</x:v>
      </x:c>
      <x:c r="Q154" t="str">
        <x:v>No</x:v>
      </x:c>
      <x:c r="R154" s="6"/>
      <x:c r="S154" t="str">
        <x:f>IF(E154="","Unique",IF(COUNTIF($E$2:E154,E154)&gt;1,"Duplicate","Unique"))</x:f>
        <x:v>Unique</x:v>
      </x:c>
      <x:c r="T154" t="str">
        <x:f>IF(J154="Unassigned","Yes","No")</x:f>
        <x:v>No</x:v>
      </x:c>
      <x:c r="U154" t="str">
        <x:f>IF(AND(E154="",F154=""),"Yes","No")</x:f>
        <x:v>No</x:v>
      </x:c>
      <x:c r="V154" t="str">
        <x:f>IF(AND('Dashboard'!$B$2-L154&gt;30,I154&lt;&gt;"Closed Won",I154&lt;&gt;"Closed Lost"),"Yes","No")</x:f>
        <x:v>Yes</x:v>
      </x:c>
      <x:c r="W154" t="str">
        <x:f>IF(AND(M154&lt;&gt;"",M154&lt;'Dashboard'!$B$2,I154&lt;&gt;"Closed Won",I154&lt;&gt;"Closed Lost"),"Yes","No")</x:f>
        <x:v>Yes</x:v>
      </x:c>
      <x:c r="X154" t="str">
        <x:f>IF(OR(S154="Duplicate",T154="Yes",U154="Yes",D154="Unknown",W154="Yes"),"Yes","No")</x:f>
        <x:v>Yes</x:v>
      </x:c>
      <x:c r="Y154" t="n">
        <x:f>IF(S154="Duplicate",0,1)</x:f>
        <x:v>1</x:v>
      </x:c>
    </x:row>
    <x:row r="155">
      <x:c r="A155" t="str">
        <x:v>L-0154</x:v>
      </x:c>
      <x:c r="B155" t="str">
        <x:v>Olivia</x:v>
      </x:c>
      <x:c r="C155" t="str">
        <x:v>Davis</x:v>
      </x:c>
      <x:c r="D155" t="str">
        <x:v>Pioneer Tech</x:v>
      </x:c>
      <x:c r="E155" t="str">
        <x:v>olivia.davis981@northmail.com</x:v>
      </x:c>
      <x:c r="F155" t="str">
        <x:v>694-580-6167</x:v>
      </x:c>
      <x:c r="G155" t="str">
        <x:v>TX</x:v>
      </x:c>
      <x:c r="H155" t="str">
        <x:v>Website</x:v>
      </x:c>
      <x:c r="I155" t="str">
        <x:v>New</x:v>
      </x:c>
      <x:c r="J155" t="str">
        <x:v>Alex Kim</x:v>
      </x:c>
      <x:c r="K155" s="6" t="n">
        <x:v>46077</x:v>
      </x:c>
      <x:c r="L155" s="6" t="n">
        <x:v>46203</x:v>
      </x:c>
      <x:c r="M155" s="6" t="n">
        <x:v>46225</x:v>
      </x:c>
      <x:c r="N155" s="8" t="n">
        <x:v>3000</x:v>
      </x:c>
      <x:c r="O155" t="str">
        <x:v>Manufacturing</x:v>
      </x:c>
      <x:c r="P155" t="str">
        <x:v>No</x:v>
      </x:c>
      <x:c r="Q155" t="str">
        <x:v>No</x:v>
      </x:c>
      <x:c r="R155" s="6"/>
      <x:c r="S155" t="str">
        <x:f>IF(E155="","Unique",IF(COUNTIF($E$2:E155,E155)&gt;1,"Duplicate","Unique"))</x:f>
        <x:v>Unique</x:v>
      </x:c>
      <x:c r="T155" t="str">
        <x:f>IF(J155="Unassigned","Yes","No")</x:f>
        <x:v>No</x:v>
      </x:c>
      <x:c r="U155" t="str">
        <x:f>IF(AND(E155="",F155=""),"Yes","No")</x:f>
        <x:v>No</x:v>
      </x:c>
      <x:c r="V155" t="str">
        <x:f>IF(AND('Dashboard'!$B$2-L155&gt;30,I155&lt;&gt;"Closed Won",I155&lt;&gt;"Closed Lost"),"Yes","No")</x:f>
        <x:v>Yes</x:v>
      </x:c>
      <x:c r="W155" t="str">
        <x:f>IF(AND(M155&lt;&gt;"",M155&lt;'Dashboard'!$B$2,I155&lt;&gt;"Closed Won",I155&lt;&gt;"Closed Lost"),"Yes","No")</x:f>
        <x:v>Yes</x:v>
      </x:c>
      <x:c r="X155" t="str">
        <x:f>IF(OR(S155="Duplicate",T155="Yes",U155="Yes",D155="Unknown",W155="Yes"),"Yes","No")</x:f>
        <x:v>Yes</x:v>
      </x:c>
      <x:c r="Y155" t="n">
        <x:f>IF(S155="Duplicate",0,1)</x:f>
        <x:v>1</x:v>
      </x:c>
    </x:row>
    <x:row r="156">
      <x:c r="A156" t="str">
        <x:v>L-0155</x:v>
      </x:c>
      <x:c r="B156" t="str">
        <x:v>Liam</x:v>
      </x:c>
      <x:c r="C156" t="str">
        <x:v>Martin</x:v>
      </x:c>
      <x:c r="D156" t="str">
        <x:v>Pioneer Tech</x:v>
      </x:c>
      <x:c r="E156" t="str">
        <x:v>liam.martin13@examplebiz.com</x:v>
      </x:c>
      <x:c r="F156" t="str">
        <x:v>(589) 794-2650</x:v>
      </x:c>
      <x:c r="G156" t="str">
        <x:v>OH</x:v>
      </x:c>
      <x:c r="H156" t="str">
        <x:v>Email Campaign</x:v>
      </x:c>
      <x:c r="I156" t="str">
        <x:v>Qualified</x:v>
      </x:c>
      <x:c r="J156" t="str">
        <x:v>Jordan Lee</x:v>
      </x:c>
      <x:c r="K156" s="6" t="n">
        <x:v>46216</x:v>
      </x:c>
      <x:c r="L156" s="6" t="n">
        <x:v>46249</x:v>
      </x:c>
      <x:c r="M156" s="6" t="n">
        <x:v>46266</x:v>
      </x:c>
      <x:c r="N156" s="8" t="n">
        <x:v>28500</x:v>
      </x:c>
      <x:c r="O156" t="str">
        <x:v>Professional Services</x:v>
      </x:c>
      <x:c r="P156" t="str">
        <x:v>Yes</x:v>
      </x:c>
      <x:c r="Q156" t="str">
        <x:v>No</x:v>
      </x:c>
      <x:c r="R156" s="6"/>
      <x:c r="S156" t="str">
        <x:f>IF(E156="","Unique",IF(COUNTIF($E$2:E156,E156)&gt;1,"Duplicate","Unique"))</x:f>
        <x:v>Unique</x:v>
      </x:c>
      <x:c r="T156" t="str">
        <x:f>IF(J156="Unassigned","Yes","No")</x:f>
        <x:v>No</x:v>
      </x:c>
      <x:c r="U156" t="str">
        <x:f>IF(AND(E156="",F156=""),"Yes","No")</x:f>
        <x:v>No</x:v>
      </x:c>
      <x:c r="V156" t="str">
        <x:f>IF(AND('Dashboard'!$B$2-L156&gt;30,I156&lt;&gt;"Closed Won",I156&lt;&gt;"Closed Lost"),"Yes","No")</x:f>
        <x:v>No</x:v>
      </x:c>
      <x:c r="W156" t="str">
        <x:f>IF(AND(M156&lt;&gt;"",M156&lt;'Dashboard'!$B$2,I156&lt;&gt;"Closed Won",I156&lt;&gt;"Closed Lost"),"Yes","No")</x:f>
        <x:v>No</x:v>
      </x:c>
      <x:c r="X156" t="str">
        <x:f>IF(OR(S156="Duplicate",T156="Yes",U156="Yes",D156="Unknown",W156="Yes"),"Yes","No")</x:f>
        <x:v>No</x:v>
      </x:c>
      <x:c r="Y156" t="n">
        <x:f>IF(S156="Duplicate",0,1)</x:f>
        <x:v>1</x:v>
      </x:c>
    </x:row>
    <x:row r="157">
      <x:c r="A157" t="str">
        <x:v>L-0156</x:v>
      </x:c>
      <x:c r="B157" t="str">
        <x:v>Sophia</x:v>
      </x:c>
      <x:c r="C157" t="str">
        <x:v>Moore</x:v>
      </x:c>
      <x:c r="D157" t="str">
        <x:v>Cedarworks</x:v>
      </x:c>
      <x:c r="E157" t="str">
        <x:v>sophia.moore443@mailhub.net</x:v>
      </x:c>
      <x:c r="F157" t="str">
        <x:v>(401) 349-3450</x:v>
      </x:c>
      <x:c r="G157" t="str">
        <x:v>WA</x:v>
      </x:c>
      <x:c r="H157" t="str">
        <x:v>LinkedIn</x:v>
      </x:c>
      <x:c r="I157" t="str">
        <x:v>Closed Won</x:v>
      </x:c>
      <x:c r="J157" t="str">
        <x:v>Unassigned</x:v>
      </x:c>
      <x:c r="K157" s="6" t="n">
        <x:v>46062</x:v>
      </x:c>
      <x:c r="L157" s="6" t="n">
        <x:v>46131</x:v>
      </x:c>
      <x:c r="M157" s="6"/>
      <x:c r="N157" s="8" t="n">
        <x:v>68800</x:v>
      </x:c>
      <x:c r="O157" t="str">
        <x:v>Manufacturing</x:v>
      </x:c>
      <x:c r="P157" t="str">
        <x:v>Yes</x:v>
      </x:c>
      <x:c r="Q157" t="str">
        <x:v>Yes</x:v>
      </x:c>
      <x:c r="R157" s="6" t="n">
        <x:v>46139</x:v>
      </x:c>
      <x:c r="S157" t="str">
        <x:f>IF(E157="","Unique",IF(COUNTIF($E$2:E157,E157)&gt;1,"Duplicate","Unique"))</x:f>
        <x:v>Unique</x:v>
      </x:c>
      <x:c r="T157" t="str">
        <x:f>IF(J157="Unassigned","Yes","No")</x:f>
        <x:v>Yes</x:v>
      </x:c>
      <x:c r="U157" t="str">
        <x:f>IF(AND(E157="",F157=""),"Yes","No")</x:f>
        <x:v>No</x:v>
      </x:c>
      <x:c r="V157" t="str">
        <x:f>IF(AND('Dashboard'!$B$2-L157&gt;30,I157&lt;&gt;"Closed Won",I157&lt;&gt;"Closed Lost"),"Yes","No")</x:f>
        <x:v>No</x:v>
      </x:c>
      <x:c r="W157" t="str">
        <x:f>IF(AND(M157&lt;&gt;"",M157&lt;'Dashboard'!$B$2,I157&lt;&gt;"Closed Won",I157&lt;&gt;"Closed Lost"),"Yes","No")</x:f>
        <x:v>No</x:v>
      </x:c>
      <x:c r="X157" t="str">
        <x:f>IF(OR(S157="Duplicate",T157="Yes",U157="Yes",D157="Unknown",W157="Yes"),"Yes","No")</x:f>
        <x:v>Yes</x:v>
      </x:c>
      <x:c r="Y157" t="n">
        <x:f>IF(S157="Duplicate",0,1)</x:f>
        <x:v>1</x:v>
      </x:c>
    </x:row>
    <x:row r="158">
      <x:c r="A158" t="str">
        <x:v>L-0157</x:v>
      </x:c>
      <x:c r="B158" t="str">
        <x:v>Ethan</x:v>
      </x:c>
      <x:c r="C158" t="str">
        <x:v>Johnson</x:v>
      </x:c>
      <x:c r="D158" t="str">
        <x:v>Apex Manufacturing</x:v>
      </x:c>
      <x:c r="E158" t="str">
        <x:v>ethan.johnson571@prospect.co</x:v>
      </x:c>
      <x:c r="F158" t="str">
        <x:v>(553) 220-7746</x:v>
      </x:c>
      <x:c r="G158" t="str">
        <x:v>NC</x:v>
      </x:c>
      <x:c r="H158" t="str">
        <x:v>Email Campaign</x:v>
      </x:c>
      <x:c r="I158" t="str">
        <x:v>New</x:v>
      </x:c>
      <x:c r="J158" t="str">
        <x:v>Alex Kim</x:v>
      </x:c>
      <x:c r="K158" s="6" t="n">
        <x:v>46056</x:v>
      </x:c>
      <x:c r="L158" s="6" t="n">
        <x:v>46141</x:v>
      </x:c>
      <x:c r="M158" s="6" t="n">
        <x:v>46152</x:v>
      </x:c>
      <x:c r="N158" s="8" t="n">
        <x:v>32300</x:v>
      </x:c>
      <x:c r="O158" t="str">
        <x:v>Financial Services</x:v>
      </x:c>
      <x:c r="P158" t="str">
        <x:v>No</x:v>
      </x:c>
      <x:c r="Q158" t="str">
        <x:v>No</x:v>
      </x:c>
      <x:c r="R158" s="6"/>
      <x:c r="S158" t="str">
        <x:f>IF(E158="","Unique",IF(COUNTIF($E$2:E158,E158)&gt;1,"Duplicate","Unique"))</x:f>
        <x:v>Unique</x:v>
      </x:c>
      <x:c r="T158" t="str">
        <x:f>IF(J158="Unassigned","Yes","No")</x:f>
        <x:v>No</x:v>
      </x:c>
      <x:c r="U158" t="str">
        <x:f>IF(AND(E158="",F158=""),"Yes","No")</x:f>
        <x:v>No</x:v>
      </x:c>
      <x:c r="V158" t="str">
        <x:f>IF(AND('Dashboard'!$B$2-L158&gt;30,I158&lt;&gt;"Closed Won",I158&lt;&gt;"Closed Lost"),"Yes","No")</x:f>
        <x:v>Yes</x:v>
      </x:c>
      <x:c r="W158" t="str">
        <x:f>IF(AND(M158&lt;&gt;"",M158&lt;'Dashboard'!$B$2,I158&lt;&gt;"Closed Won",I158&lt;&gt;"Closed Lost"),"Yes","No")</x:f>
        <x:v>Yes</x:v>
      </x:c>
      <x:c r="X158" t="str">
        <x:f>IF(OR(S158="Duplicate",T158="Yes",U158="Yes",D158="Unknown",W158="Yes"),"Yes","No")</x:f>
        <x:v>Yes</x:v>
      </x:c>
      <x:c r="Y158" t="n">
        <x:f>IF(S158="Duplicate",0,1)</x:f>
        <x:v>1</x:v>
      </x:c>
    </x:row>
    <x:row r="159">
      <x:c r="A159" t="str">
        <x:v>L-0158</x:v>
      </x:c>
      <x:c r="B159" t="str">
        <x:v>Lucas</x:v>
      </x:c>
      <x:c r="C159" t="str">
        <x:v>Moore</x:v>
      </x:c>
      <x:c r="D159" t="str">
        <x:v>Blue Ridge Supply</x:v>
      </x:c>
      <x:c r="E159" t="str">
        <x:v>lucas.moore82@examplebiz.com</x:v>
      </x:c>
      <x:c r="F159" t="str">
        <x:v>(552) 433-6136</x:v>
      </x:c>
      <x:c r="G159" t="str">
        <x:v>OH</x:v>
      </x:c>
      <x:c r="H159" t="str">
        <x:v>Email Campaign</x:v>
      </x:c>
      <x:c r="I159" t="str">
        <x:v>Contacted</x:v>
      </x:c>
      <x:c r="J159" t="str">
        <x:v>Jordan Lee</x:v>
      </x:c>
      <x:c r="K159" s="6" t="n">
        <x:v>46085</x:v>
      </x:c>
      <x:c r="L159" s="6" t="n">
        <x:v>46241</x:v>
      </x:c>
      <x:c r="M159" s="6" t="n">
        <x:v>46262</x:v>
      </x:c>
      <x:c r="N159" s="8" t="n">
        <x:v>35900</x:v>
      </x:c>
      <x:c r="O159" t="str">
        <x:v>Manufacturing</x:v>
      </x:c>
      <x:c r="P159" t="str">
        <x:v>No</x:v>
      </x:c>
      <x:c r="Q159" t="str">
        <x:v>No</x:v>
      </x:c>
      <x:c r="R159" s="6"/>
      <x:c r="S159" t="str">
        <x:f>IF(E159="","Unique",IF(COUNTIF($E$2:E159,E159)&gt;1,"Duplicate","Unique"))</x:f>
        <x:v>Unique</x:v>
      </x:c>
      <x:c r="T159" t="str">
        <x:f>IF(J159="Unassigned","Yes","No")</x:f>
        <x:v>No</x:v>
      </x:c>
      <x:c r="U159" t="str">
        <x:f>IF(AND(E159="",F159=""),"Yes","No")</x:f>
        <x:v>No</x:v>
      </x:c>
      <x:c r="V159" t="str">
        <x:f>IF(AND('Dashboard'!$B$2-L159&gt;30,I159&lt;&gt;"Closed Won",I159&lt;&gt;"Closed Lost"),"Yes","No")</x:f>
        <x:v>No</x:v>
      </x:c>
      <x:c r="W159" t="str">
        <x:f>IF(AND(M159&lt;&gt;"",M159&lt;'Dashboard'!$B$2,I159&lt;&gt;"Closed Won",I159&lt;&gt;"Closed Lost"),"Yes","No")</x:f>
        <x:v>No</x:v>
      </x:c>
      <x:c r="X159" t="str">
        <x:f>IF(OR(S159="Duplicate",T159="Yes",U159="Yes",D159="Unknown",W159="Yes"),"Yes","No")</x:f>
        <x:v>No</x:v>
      </x:c>
      <x:c r="Y159" t="n">
        <x:f>IF(S159="Duplicate",0,1)</x:f>
        <x:v>1</x:v>
      </x:c>
    </x:row>
    <x:row r="160">
      <x:c r="A160" t="str">
        <x:v>L-0159</x:v>
      </x:c>
      <x:c r="B160" t="str">
        <x:v>Mason</x:v>
      </x:c>
      <x:c r="C160" t="str">
        <x:v>Rodriguez</x:v>
      </x:c>
      <x:c r="D160" t="str">
        <x:v>Brightpath Health</x:v>
      </x:c>
      <x:c r="E160" t="str">
        <x:v>mason.rodriguez537@northmail.com</x:v>
      </x:c>
      <x:c r="F160" t="str">
        <x:v>(307) 468-3544</x:v>
      </x:c>
      <x:c r="G160" t="str">
        <x:v>CA</x:v>
      </x:c>
      <x:c r="H160" t="str">
        <x:v>Referral</x:v>
      </x:c>
      <x:c r="I160" t="str">
        <x:v>New</x:v>
      </x:c>
      <x:c r="J160" t="str">
        <x:v>Morgan Reed</x:v>
      </x:c>
      <x:c r="K160" s="6" t="n">
        <x:v>46125</x:v>
      </x:c>
      <x:c r="L160" s="6" t="n">
        <x:v>46195</x:v>
      </x:c>
      <x:c r="M160" s="6" t="n">
        <x:v>46199</x:v>
      </x:c>
      <x:c r="N160" s="8" t="n">
        <x:v>4700</x:v>
      </x:c>
      <x:c r="O160" t="str">
        <x:v>Retail</x:v>
      </x:c>
      <x:c r="P160" t="str">
        <x:v>No</x:v>
      </x:c>
      <x:c r="Q160" t="str">
        <x:v>No</x:v>
      </x:c>
      <x:c r="R160" s="6"/>
      <x:c r="S160" t="str">
        <x:f>IF(E160="","Unique",IF(COUNTIF($E$2:E160,E160)&gt;1,"Duplicate","Unique"))</x:f>
        <x:v>Unique</x:v>
      </x:c>
      <x:c r="T160" t="str">
        <x:f>IF(J160="Unassigned","Yes","No")</x:f>
        <x:v>No</x:v>
      </x:c>
      <x:c r="U160" t="str">
        <x:f>IF(AND(E160="",F160=""),"Yes","No")</x:f>
        <x:v>No</x:v>
      </x:c>
      <x:c r="V160" t="str">
        <x:f>IF(AND('Dashboard'!$B$2-L160&gt;30,I160&lt;&gt;"Closed Won",I160&lt;&gt;"Closed Lost"),"Yes","No")</x:f>
        <x:v>Yes</x:v>
      </x:c>
      <x:c r="W160" t="str">
        <x:f>IF(AND(M160&lt;&gt;"",M160&lt;'Dashboard'!$B$2,I160&lt;&gt;"Closed Won",I160&lt;&gt;"Closed Lost"),"Yes","No")</x:f>
        <x:v>Yes</x:v>
      </x:c>
      <x:c r="X160" t="str">
        <x:f>IF(OR(S160="Duplicate",T160="Yes",U160="Yes",D160="Unknown",W160="Yes"),"Yes","No")</x:f>
        <x:v>Yes</x:v>
      </x:c>
      <x:c r="Y160" t="n">
        <x:f>IF(S160="Duplicate",0,1)</x:f>
        <x:v>1</x:v>
      </x:c>
    </x:row>
    <x:row r="161">
      <x:c r="A161" t="str">
        <x:v>L-0160</x:v>
      </x:c>
      <x:c r="B161" t="str">
        <x:v>Elijah</x:v>
      </x:c>
      <x:c r="C161" t="str">
        <x:v>Rodriguez</x:v>
      </x:c>
      <x:c r="D161" t="str">
        <x:v>Prairie Health</x:v>
      </x:c>
      <x:c r="E161" t="str">
        <x:v>ethan.perez44@examplebiz.com</x:v>
      </x:c>
      <x:c r="F161" t="str">
        <x:v>556-693-9841</x:v>
      </x:c>
      <x:c r="G161" t="str">
        <x:v>PA</x:v>
      </x:c>
      <x:c r="H161" t="str">
        <x:v>Webinar</x:v>
      </x:c>
      <x:c r="I161" t="str">
        <x:v>Qualified</x:v>
      </x:c>
      <x:c r="J161" t="str">
        <x:v>Morgan Reed</x:v>
      </x:c>
      <x:c r="K161" s="6" t="n">
        <x:v>46130</x:v>
      </x:c>
      <x:c r="L161" s="6" t="n">
        <x:v>46210</x:v>
      </x:c>
      <x:c r="M161" s="6" t="n">
        <x:v>46233</x:v>
      </x:c>
      <x:c r="N161" s="8" t="n">
        <x:v>74900</x:v>
      </x:c>
      <x:c r="O161" t="str">
        <x:v>Manufacturing</x:v>
      </x:c>
      <x:c r="P161" t="str">
        <x:v>Yes</x:v>
      </x:c>
      <x:c r="Q161" t="str">
        <x:v>No</x:v>
      </x:c>
      <x:c r="R161" s="6"/>
      <x:c r="S161" t="str">
        <x:f>IF(E161="","Unique",IF(COUNTIF($E$2:E161,E161)&gt;1,"Duplicate","Unique"))</x:f>
        <x:v>Duplicate</x:v>
      </x:c>
      <x:c r="T161" t="str">
        <x:f>IF(J161="Unassigned","Yes","No")</x:f>
        <x:v>No</x:v>
      </x:c>
      <x:c r="U161" t="str">
        <x:f>IF(AND(E161="",F161=""),"Yes","No")</x:f>
        <x:v>No</x:v>
      </x:c>
      <x:c r="V161" t="str">
        <x:f>IF(AND('Dashboard'!$B$2-L161&gt;30,I161&lt;&gt;"Closed Won",I161&lt;&gt;"Closed Lost"),"Yes","No")</x:f>
        <x:v>Yes</x:v>
      </x:c>
      <x:c r="W161" t="str">
        <x:f>IF(AND(M161&lt;&gt;"",M161&lt;'Dashboard'!$B$2,I161&lt;&gt;"Closed Won",I161&lt;&gt;"Closed Lost"),"Yes","No")</x:f>
        <x:v>Yes</x:v>
      </x:c>
      <x:c r="X161" t="str">
        <x:f>IF(OR(S161="Duplicate",T161="Yes",U161="Yes",D161="Unknown",W161="Yes"),"Yes","No")</x:f>
        <x:v>Yes</x:v>
      </x:c>
      <x:c r="Y161" t="n">
        <x:f>IF(S161="Duplicate",0,1)</x:f>
        <x:v>0</x:v>
      </x:c>
    </x:row>
    <x:row r="162">
      <x:c r="A162" t="str">
        <x:v>L-0161</x:v>
      </x:c>
      <x:c r="B162" t="str">
        <x:v>James</x:v>
      </x:c>
      <x:c r="C162" t="str">
        <x:v>Martinez</x:v>
      </x:c>
      <x:c r="D162" t="str">
        <x:v>Clearview Media</x:v>
      </x:c>
      <x:c r="E162" t="str">
        <x:v>james.martinez755@mailhub.net</x:v>
      </x:c>
      <x:c r="F162" t="str">
        <x:v>(588) 425-5308</x:v>
      </x:c>
      <x:c r="G162" t="str">
        <x:v>GA</x:v>
      </x:c>
      <x:c r="H162" t="str">
        <x:v>Referral</x:v>
      </x:c>
      <x:c r="I162" t="str">
        <x:v>Contacted</x:v>
      </x:c>
      <x:c r="J162" t="str">
        <x:v>Jamie Brooks</x:v>
      </x:c>
      <x:c r="K162" s="6" t="n">
        <x:v>46103</x:v>
      </x:c>
      <x:c r="L162" s="6" t="n">
        <x:v>46214</x:v>
      </x:c>
      <x:c r="M162" s="6" t="n">
        <x:v>46229</x:v>
      </x:c>
      <x:c r="N162" s="8" t="n">
        <x:v>23100</x:v>
      </x:c>
      <x:c r="O162" t="str">
        <x:v>Healthcare</x:v>
      </x:c>
      <x:c r="P162" t="str">
        <x:v>No</x:v>
      </x:c>
      <x:c r="Q162" t="str">
        <x:v>No</x:v>
      </x:c>
      <x:c r="R162" s="6"/>
      <x:c r="S162" t="str">
        <x:f>IF(E162="","Unique",IF(COUNTIF($E$2:E162,E162)&gt;1,"Duplicate","Unique"))</x:f>
        <x:v>Unique</x:v>
      </x:c>
      <x:c r="T162" t="str">
        <x:f>IF(J162="Unassigned","Yes","No")</x:f>
        <x:v>No</x:v>
      </x:c>
      <x:c r="U162" t="str">
        <x:f>IF(AND(E162="",F162=""),"Yes","No")</x:f>
        <x:v>No</x:v>
      </x:c>
      <x:c r="V162" t="str">
        <x:f>IF(AND('Dashboard'!$B$2-L162&gt;30,I162&lt;&gt;"Closed Won",I162&lt;&gt;"Closed Lost"),"Yes","No")</x:f>
        <x:v>Yes</x:v>
      </x:c>
      <x:c r="W162" t="str">
        <x:f>IF(AND(M162&lt;&gt;"",M162&lt;'Dashboard'!$B$2,I162&lt;&gt;"Closed Won",I162&lt;&gt;"Closed Lost"),"Yes","No")</x:f>
        <x:v>Yes</x:v>
      </x:c>
      <x:c r="X162" t="str">
        <x:f>IF(OR(S162="Duplicate",T162="Yes",U162="Yes",D162="Unknown",W162="Yes"),"Yes","No")</x:f>
        <x:v>Yes</x:v>
      </x:c>
      <x:c r="Y162" t="n">
        <x:f>IF(S162="Duplicate",0,1)</x:f>
        <x:v>1</x:v>
      </x:c>
    </x:row>
    <x:row r="163">
      <x:c r="A163" t="str">
        <x:v>L-0162</x:v>
      </x:c>
      <x:c r="B163" t="str">
        <x:v>Noah</x:v>
      </x:c>
      <x:c r="C163" t="str">
        <x:v>Moore</x:v>
      </x:c>
      <x:c r="D163" t="str">
        <x:v>Prairie Health</x:v>
      </x:c>
      <x:c r="E163" t="str">
        <x:v>noah.moore191@northmail.com</x:v>
      </x:c>
      <x:c r="F163" t="str">
        <x:v>(489) 475-3048</x:v>
      </x:c>
      <x:c r="G163" t="str">
        <x:v>PA</x:v>
      </x:c>
      <x:c r="H163" t="str">
        <x:v>Trade Show</x:v>
      </x:c>
      <x:c r="I163" t="str">
        <x:v>New</x:v>
      </x:c>
      <x:c r="J163" t="str">
        <x:v>Jordan Lee</x:v>
      </x:c>
      <x:c r="K163" s="6" t="n">
        <x:v>46242</x:v>
      </x:c>
      <x:c r="L163" s="6" t="n">
        <x:v>46244</x:v>
      </x:c>
      <x:c r="M163" s="6" t="n">
        <x:v>46248</x:v>
      </x:c>
      <x:c r="N163" s="8" t="n">
        <x:v>82500</x:v>
      </x:c>
      <x:c r="O163" t="str">
        <x:v>Financial Services</x:v>
      </x:c>
      <x:c r="P163" t="str">
        <x:v>No</x:v>
      </x:c>
      <x:c r="Q163" t="str">
        <x:v>No</x:v>
      </x:c>
      <x:c r="R163" s="6"/>
      <x:c r="S163" t="str">
        <x:f>IF(E163="","Unique",IF(COUNTIF($E$2:E163,E163)&gt;1,"Duplicate","Unique"))</x:f>
        <x:v>Unique</x:v>
      </x:c>
      <x:c r="T163" t="str">
        <x:f>IF(J163="Unassigned","Yes","No")</x:f>
        <x:v>No</x:v>
      </x:c>
      <x:c r="U163" t="str">
        <x:f>IF(AND(E163="",F163=""),"Yes","No")</x:f>
        <x:v>No</x:v>
      </x:c>
      <x:c r="V163" t="str">
        <x:f>IF(AND('Dashboard'!$B$2-L163&gt;30,I163&lt;&gt;"Closed Won",I163&lt;&gt;"Closed Lost"),"Yes","No")</x:f>
        <x:v>No</x:v>
      </x:c>
      <x:c r="W163" t="str">
        <x:f>IF(AND(M163&lt;&gt;"",M163&lt;'Dashboard'!$B$2,I163&lt;&gt;"Closed Won",I163&lt;&gt;"Closed Lost"),"Yes","No")</x:f>
        <x:v>Yes</x:v>
      </x:c>
      <x:c r="X163" t="str">
        <x:f>IF(OR(S163="Duplicate",T163="Yes",U163="Yes",D163="Unknown",W163="Yes"),"Yes","No")</x:f>
        <x:v>Yes</x:v>
      </x:c>
      <x:c r="Y163" t="n">
        <x:f>IF(S163="Duplicate",0,1)</x:f>
        <x:v>1</x:v>
      </x:c>
    </x:row>
    <x:row r="164">
      <x:c r="A164" t="str">
        <x:v>L-0163</x:v>
      </x:c>
      <x:c r="B164" t="str">
        <x:v>Emma</x:v>
      </x:c>
      <x:c r="C164" t="str">
        <x:v>Johnson</x:v>
      </x:c>
      <x:c r="D164" t="str">
        <x:v>Horizon Bio</x:v>
      </x:c>
      <x:c r="E164" t="str">
        <x:v>emma.johnson998@examplebiz.com</x:v>
      </x:c>
      <x:c r="F164" t="str">
        <x:v>(595) 989-8257</x:v>
      </x:c>
      <x:c r="G164" t="str">
        <x:v>TX</x:v>
      </x:c>
      <x:c r="H164" t="str">
        <x:v>Trade Show</x:v>
      </x:c>
      <x:c r="I164" t="str">
        <x:v>New</x:v>
      </x:c>
      <x:c r="J164" t="str">
        <x:v>Jordan Lee</x:v>
      </x:c>
      <x:c r="K164" s="6" t="n">
        <x:v>46031</x:v>
      </x:c>
      <x:c r="L164" s="6" t="n">
        <x:v>46095</x:v>
      </x:c>
      <x:c r="M164" s="6" t="n">
        <x:v>46110</x:v>
      </x:c>
      <x:c r="N164" s="8" t="n">
        <x:v>70800</x:v>
      </x:c>
      <x:c r="O164" t="str">
        <x:v>Professional Services</x:v>
      </x:c>
      <x:c r="P164" t="str">
        <x:v>No</x:v>
      </x:c>
      <x:c r="Q164" t="str">
        <x:v>No</x:v>
      </x:c>
      <x:c r="R164" s="6"/>
      <x:c r="S164" t="str">
        <x:f>IF(E164="","Unique",IF(COUNTIF($E$2:E164,E164)&gt;1,"Duplicate","Unique"))</x:f>
        <x:v>Unique</x:v>
      </x:c>
      <x:c r="T164" t="str">
        <x:f>IF(J164="Unassigned","Yes","No")</x:f>
        <x:v>No</x:v>
      </x:c>
      <x:c r="U164" t="str">
        <x:f>IF(AND(E164="",F164=""),"Yes","No")</x:f>
        <x:v>No</x:v>
      </x:c>
      <x:c r="V164" t="str">
        <x:f>IF(AND('Dashboard'!$B$2-L164&gt;30,I164&lt;&gt;"Closed Won",I164&lt;&gt;"Closed Lost"),"Yes","No")</x:f>
        <x:v>Yes</x:v>
      </x:c>
      <x:c r="W164" t="str">
        <x:f>IF(AND(M164&lt;&gt;"",M164&lt;'Dashboard'!$B$2,I164&lt;&gt;"Closed Won",I164&lt;&gt;"Closed Lost"),"Yes","No")</x:f>
        <x:v>Yes</x:v>
      </x:c>
      <x:c r="X164" t="str">
        <x:f>IF(OR(S164="Duplicate",T164="Yes",U164="Yes",D164="Unknown",W164="Yes"),"Yes","No")</x:f>
        <x:v>Yes</x:v>
      </x:c>
      <x:c r="Y164" t="n">
        <x:f>IF(S164="Duplicate",0,1)</x:f>
        <x:v>1</x:v>
      </x:c>
    </x:row>
    <x:row r="165">
      <x:c r="A165" t="str">
        <x:v>L-0164</x:v>
      </x:c>
      <x:c r="B165" t="str">
        <x:v>Evelyn</x:v>
      </x:c>
      <x:c r="C165" t="str">
        <x:v>Brown</x:v>
      </x:c>
      <x:c r="D165" t="str">
        <x:v>Horizon Bio</x:v>
      </x:c>
      <x:c r="E165" t="str">
        <x:v>evelyn.brown333@northmail.com</x:v>
      </x:c>
      <x:c r="F165" t="str">
        <x:v>(372) 482-2960</x:v>
      </x:c>
      <x:c r="G165" t="str">
        <x:v>OH</x:v>
      </x:c>
      <x:c r="H165" t="str">
        <x:v>Referral</x:v>
      </x:c>
      <x:c r="I165" t="str">
        <x:v>Contacted</x:v>
      </x:c>
      <x:c r="J165" t="str">
        <x:v>Morgan Reed</x:v>
      </x:c>
      <x:c r="K165" s="6" t="n">
        <x:v>46233</x:v>
      </x:c>
      <x:c r="L165" s="6" t="n">
        <x:v>46239</x:v>
      </x:c>
      <x:c r="M165" s="6" t="n">
        <x:v>46245</x:v>
      </x:c>
      <x:c r="N165" s="8" t="n">
        <x:v>22000</x:v>
      </x:c>
      <x:c r="O165" t="str">
        <x:v>Logistics</x:v>
      </x:c>
      <x:c r="P165" t="str">
        <x:v>No</x:v>
      </x:c>
      <x:c r="Q165" t="str">
        <x:v>No</x:v>
      </x:c>
      <x:c r="R165" s="6"/>
      <x:c r="S165" t="str">
        <x:f>IF(E165="","Unique",IF(COUNTIF($E$2:E165,E165)&gt;1,"Duplicate","Unique"))</x:f>
        <x:v>Unique</x:v>
      </x:c>
      <x:c r="T165" t="str">
        <x:f>IF(J165="Unassigned","Yes","No")</x:f>
        <x:v>No</x:v>
      </x:c>
      <x:c r="U165" t="str">
        <x:f>IF(AND(E165="",F165=""),"Yes","No")</x:f>
        <x:v>No</x:v>
      </x:c>
      <x:c r="V165" t="str">
        <x:f>IF(AND('Dashboard'!$B$2-L165&gt;30,I165&lt;&gt;"Closed Won",I165&lt;&gt;"Closed Lost"),"Yes","No")</x:f>
        <x:v>No</x:v>
      </x:c>
      <x:c r="W165" t="str">
        <x:f>IF(AND(M165&lt;&gt;"",M165&lt;'Dashboard'!$B$2,I165&lt;&gt;"Closed Won",I165&lt;&gt;"Closed Lost"),"Yes","No")</x:f>
        <x:v>Yes</x:v>
      </x:c>
      <x:c r="X165" t="str">
        <x:f>IF(OR(S165="Duplicate",T165="Yes",U165="Yes",D165="Unknown",W165="Yes"),"Yes","No")</x:f>
        <x:v>Yes</x:v>
      </x:c>
      <x:c r="Y165" t="n">
        <x:f>IF(S165="Duplicate",0,1)</x:f>
        <x:v>1</x:v>
      </x:c>
    </x:row>
    <x:row r="166">
      <x:c r="A166" t="str">
        <x:v>L-0165</x:v>
      </x:c>
      <x:c r="B166" t="str">
        <x:v>Emma</x:v>
      </x:c>
      <x:c r="C166" t="str">
        <x:v>Lee</x:v>
      </x:c>
      <x:c r="D166" t="str">
        <x:v>Summit Analytics</x:v>
      </x:c>
      <x:c r="E166" t="str">
        <x:v>emma.lee751@examplebiz.com</x:v>
      </x:c>
      <x:c r="F166" t="str">
        <x:v>(222) 905-7189</x:v>
      </x:c>
      <x:c r="G166" t="str">
        <x:v>NC</x:v>
      </x:c>
      <x:c r="H166" t="str">
        <x:v>Website</x:v>
      </x:c>
      <x:c r="I166" t="str">
        <x:v>Closed Lost</x:v>
      </x:c>
      <x:c r="J166" t="str">
        <x:v>Morgan Reed</x:v>
      </x:c>
      <x:c r="K166" s="6" t="n">
        <x:v>46045</x:v>
      </x:c>
      <x:c r="L166" s="6" t="n">
        <x:v>46210</x:v>
      </x:c>
      <x:c r="M166" s="6"/>
      <x:c r="N166" s="8" t="n">
        <x:v>64900</x:v>
      </x:c>
      <x:c r="O166" t="str">
        <x:v>Manufacturing</x:v>
      </x:c>
      <x:c r="P166" t="str">
        <x:v>Yes</x:v>
      </x:c>
      <x:c r="Q166" t="str">
        <x:v>No</x:v>
      </x:c>
      <x:c r="R166" s="6" t="n">
        <x:v>46217</x:v>
      </x:c>
      <x:c r="S166" t="str">
        <x:f>IF(E166="","Unique",IF(COUNTIF($E$2:E166,E166)&gt;1,"Duplicate","Unique"))</x:f>
        <x:v>Unique</x:v>
      </x:c>
      <x:c r="T166" t="str">
        <x:f>IF(J166="Unassigned","Yes","No")</x:f>
        <x:v>No</x:v>
      </x:c>
      <x:c r="U166" t="str">
        <x:f>IF(AND(E166="",F166=""),"Yes","No")</x:f>
        <x:v>No</x:v>
      </x:c>
      <x:c r="V166" t="str">
        <x:f>IF(AND('Dashboard'!$B$2-L166&gt;30,I166&lt;&gt;"Closed Won",I166&lt;&gt;"Closed Lost"),"Yes","No")</x:f>
        <x:v>No</x:v>
      </x:c>
      <x:c r="W166" t="str">
        <x:f>IF(AND(M166&lt;&gt;"",M166&lt;'Dashboard'!$B$2,I166&lt;&gt;"Closed Won",I166&lt;&gt;"Closed Lost"),"Yes","No")</x:f>
        <x:v>No</x:v>
      </x:c>
      <x:c r="X166" t="str">
        <x:f>IF(OR(S166="Duplicate",T166="Yes",U166="Yes",D166="Unknown",W166="Yes"),"Yes","No")</x:f>
        <x:v>No</x:v>
      </x:c>
      <x:c r="Y166" t="n">
        <x:f>IF(S166="Duplicate",0,1)</x:f>
        <x:v>1</x:v>
      </x:c>
    </x:row>
    <x:row r="167">
      <x:c r="A167" t="str">
        <x:v>L-0166</x:v>
      </x:c>
      <x:c r="B167" t="str">
        <x:v>Harper</x:v>
      </x:c>
      <x:c r="C167" t="str">
        <x:v>Martinez</x:v>
      </x:c>
      <x:c r="D167" t="str">
        <x:v>Horizon Bio</x:v>
      </x:c>
      <x:c r="E167" t="str">
        <x:v>harper.martinez878@prospect.co</x:v>
      </x:c>
      <x:c r="F167" t="str">
        <x:v>(836) 444-6254</x:v>
      </x:c>
      <x:c r="G167" t="str">
        <x:v>NC</x:v>
      </x:c>
      <x:c r="H167" t="str">
        <x:v>Website</x:v>
      </x:c>
      <x:c r="I167" t="str">
        <x:v>Opportunity</x:v>
      </x:c>
      <x:c r="J167" t="str">
        <x:v>Alex Kim</x:v>
      </x:c>
      <x:c r="K167" s="6" t="n">
        <x:v>46149</x:v>
      </x:c>
      <x:c r="L167" s="6" t="n">
        <x:v>46242</x:v>
      </x:c>
      <x:c r="M167" s="6" t="n">
        <x:v>46250</x:v>
      </x:c>
      <x:c r="N167" s="8" t="n">
        <x:v>75300</x:v>
      </x:c>
      <x:c r="O167" t="str">
        <x:v>Biotech</x:v>
      </x:c>
      <x:c r="P167" t="str">
        <x:v>Yes</x:v>
      </x:c>
      <x:c r="Q167" t="str">
        <x:v>No</x:v>
      </x:c>
      <x:c r="R167" s="6"/>
      <x:c r="S167" t="str">
        <x:f>IF(E167="","Unique",IF(COUNTIF($E$2:E167,E167)&gt;1,"Duplicate","Unique"))</x:f>
        <x:v>Unique</x:v>
      </x:c>
      <x:c r="T167" t="str">
        <x:f>IF(J167="Unassigned","Yes","No")</x:f>
        <x:v>No</x:v>
      </x:c>
      <x:c r="U167" t="str">
        <x:f>IF(AND(E167="",F167=""),"Yes","No")</x:f>
        <x:v>No</x:v>
      </x:c>
      <x:c r="V167" t="str">
        <x:f>IF(AND('Dashboard'!$B$2-L167&gt;30,I167&lt;&gt;"Closed Won",I167&lt;&gt;"Closed Lost"),"Yes","No")</x:f>
        <x:v>No</x:v>
      </x:c>
      <x:c r="W167" t="str">
        <x:f>IF(AND(M167&lt;&gt;"",M167&lt;'Dashboard'!$B$2,I167&lt;&gt;"Closed Won",I167&lt;&gt;"Closed Lost"),"Yes","No")</x:f>
        <x:v>Yes</x:v>
      </x:c>
      <x:c r="X167" t="str">
        <x:f>IF(OR(S167="Duplicate",T167="Yes",U167="Yes",D167="Unknown",W167="Yes"),"Yes","No")</x:f>
        <x:v>Yes</x:v>
      </x:c>
      <x:c r="Y167" t="n">
        <x:f>IF(S167="Duplicate",0,1)</x:f>
        <x:v>1</x:v>
      </x:c>
    </x:row>
    <x:row r="168">
      <x:c r="A168" t="str">
        <x:v>L-0167</x:v>
      </x:c>
      <x:c r="B168" t="str">
        <x:v>Emma</x:v>
      </x:c>
      <x:c r="C168" t="str">
        <x:v>Garcia</x:v>
      </x:c>
      <x:c r="D168" t="str">
        <x:v>Peakline Systems</x:v>
      </x:c>
      <x:c r="E168" t="str">
        <x:v>emma.garcia719@prospect.co</x:v>
      </x:c>
      <x:c r="F168" t="str">
        <x:v>(251) 575-4616</x:v>
      </x:c>
      <x:c r="G168" t="str">
        <x:v>TX</x:v>
      </x:c>
      <x:c r="H168" t="str">
        <x:v>Webinar</x:v>
      </x:c>
      <x:c r="I168" t="str">
        <x:v>New</x:v>
      </x:c>
      <x:c r="J168" t="str">
        <x:v>Alex Kim</x:v>
      </x:c>
      <x:c r="K168" s="6" t="n">
        <x:v>46100</x:v>
      </x:c>
      <x:c r="L168" s="6" t="n">
        <x:v>46199</x:v>
      </x:c>
      <x:c r="M168" s="6" t="n">
        <x:v>46223</x:v>
      </x:c>
      <x:c r="N168" s="8" t="n">
        <x:v>42900</x:v>
      </x:c>
      <x:c r="O168" t="str">
        <x:v>Retail</x:v>
      </x:c>
      <x:c r="P168" t="str">
        <x:v>No</x:v>
      </x:c>
      <x:c r="Q168" t="str">
        <x:v>No</x:v>
      </x:c>
      <x:c r="R168" s="6"/>
      <x:c r="S168" t="str">
        <x:f>IF(E168="","Unique",IF(COUNTIF($E$2:E168,E168)&gt;1,"Duplicate","Unique"))</x:f>
        <x:v>Unique</x:v>
      </x:c>
      <x:c r="T168" t="str">
        <x:f>IF(J168="Unassigned","Yes","No")</x:f>
        <x:v>No</x:v>
      </x:c>
      <x:c r="U168" t="str">
        <x:f>IF(AND(E168="",F168=""),"Yes","No")</x:f>
        <x:v>No</x:v>
      </x:c>
      <x:c r="V168" t="str">
        <x:f>IF(AND('Dashboard'!$B$2-L168&gt;30,I168&lt;&gt;"Closed Won",I168&lt;&gt;"Closed Lost"),"Yes","No")</x:f>
        <x:v>Yes</x:v>
      </x:c>
      <x:c r="W168" t="str">
        <x:f>IF(AND(M168&lt;&gt;"",M168&lt;'Dashboard'!$B$2,I168&lt;&gt;"Closed Won",I168&lt;&gt;"Closed Lost"),"Yes","No")</x:f>
        <x:v>Yes</x:v>
      </x:c>
      <x:c r="X168" t="str">
        <x:f>IF(OR(S168="Duplicate",T168="Yes",U168="Yes",D168="Unknown",W168="Yes"),"Yes","No")</x:f>
        <x:v>Yes</x:v>
      </x:c>
      <x:c r="Y168" t="n">
        <x:f>IF(S168="Duplicate",0,1)</x:f>
        <x:v>1</x:v>
      </x:c>
    </x:row>
    <x:row r="169">
      <x:c r="A169" t="str">
        <x:v>L-0168</x:v>
      </x:c>
      <x:c r="B169" t="str">
        <x:v>Liam</x:v>
      </x:c>
      <x:c r="C169" t="str">
        <x:v>Thompson</x:v>
      </x:c>
      <x:c r="D169" t="str">
        <x:v>Horizon Bio</x:v>
      </x:c>
      <x:c r="E169" t="str">
        <x:v>liam.thompson545@mailhub.net</x:v>
      </x:c>
      <x:c r="F169" t="str">
        <x:v>(395) 397-9621</x:v>
      </x:c>
      <x:c r="G169" t="str">
        <x:v>PA</x:v>
      </x:c>
      <x:c r="H169" t="str">
        <x:v>Website</x:v>
      </x:c>
      <x:c r="I169" t="str">
        <x:v>Contacted</x:v>
      </x:c>
      <x:c r="J169" t="str">
        <x:v>Taylor Morgan</x:v>
      </x:c>
      <x:c r="K169" s="6" t="n">
        <x:v>46191</x:v>
      </x:c>
      <x:c r="L169" s="6" t="n">
        <x:v>46224</x:v>
      </x:c>
      <x:c r="M169" s="6" t="n">
        <x:v>46230</x:v>
      </x:c>
      <x:c r="N169" s="8" t="n">
        <x:v>10900</x:v>
      </x:c>
      <x:c r="O169" t="str">
        <x:v>Healthcare</x:v>
      </x:c>
      <x:c r="P169" t="str">
        <x:v>No</x:v>
      </x:c>
      <x:c r="Q169" t="str">
        <x:v>No</x:v>
      </x:c>
      <x:c r="R169" s="6"/>
      <x:c r="S169" t="str">
        <x:f>IF(E169="","Unique",IF(COUNTIF($E$2:E169,E169)&gt;1,"Duplicate","Unique"))</x:f>
        <x:v>Unique</x:v>
      </x:c>
      <x:c r="T169" t="str">
        <x:f>IF(J169="Unassigned","Yes","No")</x:f>
        <x:v>No</x:v>
      </x:c>
      <x:c r="U169" t="str">
        <x:f>IF(AND(E169="",F169=""),"Yes","No")</x:f>
        <x:v>No</x:v>
      </x:c>
      <x:c r="V169" t="str">
        <x:f>IF(AND('Dashboard'!$B$2-L169&gt;30,I169&lt;&gt;"Closed Won",I169&lt;&gt;"Closed Lost"),"Yes","No")</x:f>
        <x:v>No</x:v>
      </x:c>
      <x:c r="W169" t="str">
        <x:f>IF(AND(M169&lt;&gt;"",M169&lt;'Dashboard'!$B$2,I169&lt;&gt;"Closed Won",I169&lt;&gt;"Closed Lost"),"Yes","No")</x:f>
        <x:v>Yes</x:v>
      </x:c>
      <x:c r="X169" t="str">
        <x:f>IF(OR(S169="Duplicate",T169="Yes",U169="Yes",D169="Unknown",W169="Yes"),"Yes","No")</x:f>
        <x:v>Yes</x:v>
      </x:c>
      <x:c r="Y169" t="n">
        <x:f>IF(S169="Duplicate",0,1)</x:f>
        <x:v>1</x:v>
      </x:c>
    </x:row>
    <x:row r="170">
      <x:c r="A170" t="str">
        <x:v>L-0169</x:v>
      </x:c>
      <x:c r="B170" t="str">
        <x:v>Elijah</x:v>
      </x:c>
      <x:c r="C170" t="str">
        <x:v>Thomas</x:v>
      </x:c>
      <x:c r="D170" t="str">
        <x:v>Redstone Consulting</x:v>
      </x:c>
      <x:c r="E170" t="str">
        <x:v>elijah.thomas866@prospect.co</x:v>
      </x:c>
      <x:c r="F170" t="str">
        <x:v>623-982-8054</x:v>
      </x:c>
      <x:c r="G170" t="str">
        <x:v>GA</x:v>
      </x:c>
      <x:c r="H170" t="str">
        <x:v>Outbound</x:v>
      </x:c>
      <x:c r="I170" t="str">
        <x:v>Qualified</x:v>
      </x:c>
      <x:c r="J170" t="str">
        <x:v>Casey Patel</x:v>
      </x:c>
      <x:c r="K170" s="6" t="n">
        <x:v>46156</x:v>
      </x:c>
      <x:c r="L170" s="6" t="n">
        <x:v>46196</x:v>
      </x:c>
      <x:c r="M170" s="6" t="n">
        <x:v>46216</x:v>
      </x:c>
      <x:c r="N170" s="8" t="n">
        <x:v>84300</x:v>
      </x:c>
      <x:c r="O170" t="str">
        <x:v>Manufacturing</x:v>
      </x:c>
      <x:c r="P170" t="str">
        <x:v>Yes</x:v>
      </x:c>
      <x:c r="Q170" t="str">
        <x:v>No</x:v>
      </x:c>
      <x:c r="R170" s="6"/>
      <x:c r="S170" t="str">
        <x:f>IF(E170="","Unique",IF(COUNTIF($E$2:E170,E170)&gt;1,"Duplicate","Unique"))</x:f>
        <x:v>Unique</x:v>
      </x:c>
      <x:c r="T170" t="str">
        <x:f>IF(J170="Unassigned","Yes","No")</x:f>
        <x:v>No</x:v>
      </x:c>
      <x:c r="U170" t="str">
        <x:f>IF(AND(E170="",F170=""),"Yes","No")</x:f>
        <x:v>No</x:v>
      </x:c>
      <x:c r="V170" t="str">
        <x:f>IF(AND('Dashboard'!$B$2-L170&gt;30,I170&lt;&gt;"Closed Won",I170&lt;&gt;"Closed Lost"),"Yes","No")</x:f>
        <x:v>Yes</x:v>
      </x:c>
      <x:c r="W170" t="str">
        <x:f>IF(AND(M170&lt;&gt;"",M170&lt;'Dashboard'!$B$2,I170&lt;&gt;"Closed Won",I170&lt;&gt;"Closed Lost"),"Yes","No")</x:f>
        <x:v>Yes</x:v>
      </x:c>
      <x:c r="X170" t="str">
        <x:f>IF(OR(S170="Duplicate",T170="Yes",U170="Yes",D170="Unknown",W170="Yes"),"Yes","No")</x:f>
        <x:v>Yes</x:v>
      </x:c>
      <x:c r="Y170" t="n">
        <x:f>IF(S170="Duplicate",0,1)</x:f>
        <x:v>1</x:v>
      </x:c>
    </x:row>
    <x:row r="171">
      <x:c r="A171" t="str">
        <x:v>L-0170</x:v>
      </x:c>
      <x:c r="B171" t="str">
        <x:v>Evelyn</x:v>
      </x:c>
      <x:c r="C171" t="str">
        <x:v>Jones</x:v>
      </x:c>
      <x:c r="D171" t="str">
        <x:v>Evergreen Services</x:v>
      </x:c>
      <x:c r="E171" t="str">
        <x:v>evelyn.jones524@examplebiz.com</x:v>
      </x:c>
      <x:c r="F171" t="str">
        <x:v>(297) 238-8542</x:v>
      </x:c>
      <x:c r="G171" t="str">
        <x:v>NY</x:v>
      </x:c>
      <x:c r="H171" t="str">
        <x:v>Outbound</x:v>
      </x:c>
      <x:c r="I171" t="str">
        <x:v>Contacted</x:v>
      </x:c>
      <x:c r="J171" t="str">
        <x:v>Alex Kim</x:v>
      </x:c>
      <x:c r="K171" s="6" t="n">
        <x:v>46166</x:v>
      </x:c>
      <x:c r="L171" s="6" t="n">
        <x:v>46168</x:v>
      </x:c>
      <x:c r="M171" s="6" t="n">
        <x:v>46193</x:v>
      </x:c>
      <x:c r="N171" s="8" t="n">
        <x:v>70300</x:v>
      </x:c>
      <x:c r="O171" t="str">
        <x:v>Healthcare</x:v>
      </x:c>
      <x:c r="P171" t="str">
        <x:v>No</x:v>
      </x:c>
      <x:c r="Q171" t="str">
        <x:v>No</x:v>
      </x:c>
      <x:c r="R171" s="6"/>
      <x:c r="S171" t="str">
        <x:f>IF(E171="","Unique",IF(COUNTIF($E$2:E171,E171)&gt;1,"Duplicate","Unique"))</x:f>
        <x:v>Unique</x:v>
      </x:c>
      <x:c r="T171" t="str">
        <x:f>IF(J171="Unassigned","Yes","No")</x:f>
        <x:v>No</x:v>
      </x:c>
      <x:c r="U171" t="str">
        <x:f>IF(AND(E171="",F171=""),"Yes","No")</x:f>
        <x:v>No</x:v>
      </x:c>
      <x:c r="V171" t="str">
        <x:f>IF(AND('Dashboard'!$B$2-L171&gt;30,I171&lt;&gt;"Closed Won",I171&lt;&gt;"Closed Lost"),"Yes","No")</x:f>
        <x:v>Yes</x:v>
      </x:c>
      <x:c r="W171" t="str">
        <x:f>IF(AND(M171&lt;&gt;"",M171&lt;'Dashboard'!$B$2,I171&lt;&gt;"Closed Won",I171&lt;&gt;"Closed Lost"),"Yes","No")</x:f>
        <x:v>Yes</x:v>
      </x:c>
      <x:c r="X171" t="str">
        <x:f>IF(OR(S171="Duplicate",T171="Yes",U171="Yes",D171="Unknown",W171="Yes"),"Yes","No")</x:f>
        <x:v>Yes</x:v>
      </x:c>
      <x:c r="Y171" t="n">
        <x:f>IF(S171="Duplicate",0,1)</x:f>
        <x:v>1</x:v>
      </x:c>
    </x:row>
    <x:row r="172">
      <x:c r="A172" t="str">
        <x:v>L-0171</x:v>
      </x:c>
      <x:c r="B172" t="str">
        <x:v>Luna</x:v>
      </x:c>
      <x:c r="C172" t="str">
        <x:v>Brown</x:v>
      </x:c>
      <x:c r="D172" t="str">
        <x:v>Evergreen Services</x:v>
      </x:c>
      <x:c r="E172" t="str">
        <x:v>luna.brown427@northmail.com</x:v>
      </x:c>
      <x:c r="F172" t="str">
        <x:v>(989) 432-1187</x:v>
      </x:c>
      <x:c r="G172" t="str">
        <x:v>PA</x:v>
      </x:c>
      <x:c r="H172" t="str">
        <x:v>Email Campaign</x:v>
      </x:c>
      <x:c r="I172" t="str">
        <x:v>Contacted</x:v>
      </x:c>
      <x:c r="J172" t="str">
        <x:v>Morgan Reed</x:v>
      </x:c>
      <x:c r="K172" s="6" t="n">
        <x:v>46047</x:v>
      </x:c>
      <x:c r="L172" s="6" t="n">
        <x:v>46061</x:v>
      </x:c>
      <x:c r="M172" s="6" t="n">
        <x:v>46074</x:v>
      </x:c>
      <x:c r="N172" s="8" t="n">
        <x:v>31200</x:v>
      </x:c>
      <x:c r="O172" t="str">
        <x:v>Healthcare</x:v>
      </x:c>
      <x:c r="P172" t="str">
        <x:v>No</x:v>
      </x:c>
      <x:c r="Q172" t="str">
        <x:v>No</x:v>
      </x:c>
      <x:c r="R172" s="6"/>
      <x:c r="S172" t="str">
        <x:f>IF(E172="","Unique",IF(COUNTIF($E$2:E172,E172)&gt;1,"Duplicate","Unique"))</x:f>
        <x:v>Unique</x:v>
      </x:c>
      <x:c r="T172" t="str">
        <x:f>IF(J172="Unassigned","Yes","No")</x:f>
        <x:v>No</x:v>
      </x:c>
      <x:c r="U172" t="str">
        <x:f>IF(AND(E172="",F172=""),"Yes","No")</x:f>
        <x:v>No</x:v>
      </x:c>
      <x:c r="V172" t="str">
        <x:f>IF(AND('Dashboard'!$B$2-L172&gt;30,I172&lt;&gt;"Closed Won",I172&lt;&gt;"Closed Lost"),"Yes","No")</x:f>
        <x:v>Yes</x:v>
      </x:c>
      <x:c r="W172" t="str">
        <x:f>IF(AND(M172&lt;&gt;"",M172&lt;'Dashboard'!$B$2,I172&lt;&gt;"Closed Won",I172&lt;&gt;"Closed Lost"),"Yes","No")</x:f>
        <x:v>Yes</x:v>
      </x:c>
      <x:c r="X172" t="str">
        <x:f>IF(OR(S172="Duplicate",T172="Yes",U172="Yes",D172="Unknown",W172="Yes"),"Yes","No")</x:f>
        <x:v>Yes</x:v>
      </x:c>
      <x:c r="Y172" t="n">
        <x:f>IF(S172="Duplicate",0,1)</x:f>
        <x:v>1</x:v>
      </x:c>
    </x:row>
    <x:row r="173">
      <x:c r="A173" t="str">
        <x:v>L-0172</x:v>
      </x:c>
      <x:c r="B173" t="str">
        <x:v>Lucas</x:v>
      </x:c>
      <x:c r="C173" t="str">
        <x:v>Thomas</x:v>
      </x:c>
      <x:c r="D173" t="str">
        <x:v>Blue Ridge Supply</x:v>
      </x:c>
      <x:c r="E173" t="str">
        <x:v>lucas.thomas514@mailhub.net</x:v>
      </x:c>
      <x:c r="F173" t="str">
        <x:v>(915) 333-3209</x:v>
      </x:c>
      <x:c r="G173" t="str">
        <x:v>IL</x:v>
      </x:c>
      <x:c r="H173" t="str">
        <x:v>Website</x:v>
      </x:c>
      <x:c r="I173" t="str">
        <x:v>Qualified</x:v>
      </x:c>
      <x:c r="J173" t="str">
        <x:v>Morgan Reed</x:v>
      </x:c>
      <x:c r="K173" s="6" t="n">
        <x:v>46234</x:v>
      </x:c>
      <x:c r="L173" s="6" t="n">
        <x:v>46251</x:v>
      </x:c>
      <x:c r="M173" s="6" t="n">
        <x:v>46266</x:v>
      </x:c>
      <x:c r="N173" s="8" t="n">
        <x:v>24200</x:v>
      </x:c>
      <x:c r="O173" t="str">
        <x:v>Manufacturing</x:v>
      </x:c>
      <x:c r="P173" t="str">
        <x:v>Yes</x:v>
      </x:c>
      <x:c r="Q173" t="str">
        <x:v>No</x:v>
      </x:c>
      <x:c r="R173" s="6"/>
      <x:c r="S173" t="str">
        <x:f>IF(E173="","Unique",IF(COUNTIF($E$2:E173,E173)&gt;1,"Duplicate","Unique"))</x:f>
        <x:v>Unique</x:v>
      </x:c>
      <x:c r="T173" t="str">
        <x:f>IF(J173="Unassigned","Yes","No")</x:f>
        <x:v>No</x:v>
      </x:c>
      <x:c r="U173" t="str">
        <x:f>IF(AND(E173="",F173=""),"Yes","No")</x:f>
        <x:v>No</x:v>
      </x:c>
      <x:c r="V173" t="str">
        <x:f>IF(AND('Dashboard'!$B$2-L173&gt;30,I173&lt;&gt;"Closed Won",I173&lt;&gt;"Closed Lost"),"Yes","No")</x:f>
        <x:v>No</x:v>
      </x:c>
      <x:c r="W173" t="str">
        <x:f>IF(AND(M173&lt;&gt;"",M173&lt;'Dashboard'!$B$2,I173&lt;&gt;"Closed Won",I173&lt;&gt;"Closed Lost"),"Yes","No")</x:f>
        <x:v>No</x:v>
      </x:c>
      <x:c r="X173" t="str">
        <x:f>IF(OR(S173="Duplicate",T173="Yes",U173="Yes",D173="Unknown",W173="Yes"),"Yes","No")</x:f>
        <x:v>No</x:v>
      </x:c>
      <x:c r="Y173" t="n">
        <x:f>IF(S173="Duplicate",0,1)</x:f>
        <x:v>1</x:v>
      </x:c>
    </x:row>
    <x:row r="174">
      <x:c r="A174" t="str">
        <x:v>L-0173</x:v>
      </x:c>
      <x:c r="B174" t="str">
        <x:v>James</x:v>
      </x:c>
      <x:c r="C174" t="str">
        <x:v>Anderson</x:v>
      </x:c>
      <x:c r="D174" t="str">
        <x:v>Unknown</x:v>
      </x:c>
      <x:c r="E174" t="str">
        <x:v>james.anderson842@mailhub.net</x:v>
      </x:c>
      <x:c r="F174" t="str">
        <x:v>(839) 349-8216</x:v>
      </x:c>
      <x:c r="G174" t="str">
        <x:v>IL</x:v>
      </x:c>
      <x:c r="H174" t="str">
        <x:v>Referral</x:v>
      </x:c>
      <x:c r="I174" t="str">
        <x:v>Opportunity</x:v>
      </x:c>
      <x:c r="J174" t="str">
        <x:v>Alex Kim</x:v>
      </x:c>
      <x:c r="K174" s="6" t="n">
        <x:v>46049</x:v>
      </x:c>
      <x:c r="L174" s="6" t="n">
        <x:v>46127</x:v>
      </x:c>
      <x:c r="M174" s="6" t="n">
        <x:v>46135</x:v>
      </x:c>
      <x:c r="N174" s="8" t="n">
        <x:v>84000</x:v>
      </x:c>
      <x:c r="O174" t="str">
        <x:v>Retail</x:v>
      </x:c>
      <x:c r="P174" t="str">
        <x:v>Yes</x:v>
      </x:c>
      <x:c r="Q174" t="str">
        <x:v>No</x:v>
      </x:c>
      <x:c r="R174" s="6"/>
      <x:c r="S174" t="str">
        <x:f>IF(E174="","Unique",IF(COUNTIF($E$2:E174,E174)&gt;1,"Duplicate","Unique"))</x:f>
        <x:v>Unique</x:v>
      </x:c>
      <x:c r="T174" t="str">
        <x:f>IF(J174="Unassigned","Yes","No")</x:f>
        <x:v>No</x:v>
      </x:c>
      <x:c r="U174" t="str">
        <x:f>IF(AND(E174="",F174=""),"Yes","No")</x:f>
        <x:v>No</x:v>
      </x:c>
      <x:c r="V174" t="str">
        <x:f>IF(AND('Dashboard'!$B$2-L174&gt;30,I174&lt;&gt;"Closed Won",I174&lt;&gt;"Closed Lost"),"Yes","No")</x:f>
        <x:v>Yes</x:v>
      </x:c>
      <x:c r="W174" t="str">
        <x:f>IF(AND(M174&lt;&gt;"",M174&lt;'Dashboard'!$B$2,I174&lt;&gt;"Closed Won",I174&lt;&gt;"Closed Lost"),"Yes","No")</x:f>
        <x:v>Yes</x:v>
      </x:c>
      <x:c r="X174" t="str">
        <x:f>IF(OR(S174="Duplicate",T174="Yes",U174="Yes",D174="Unknown",W174="Yes"),"Yes","No")</x:f>
        <x:v>Yes</x:v>
      </x:c>
      <x:c r="Y174" t="n">
        <x:f>IF(S174="Duplicate",0,1)</x:f>
        <x:v>1</x:v>
      </x:c>
    </x:row>
    <x:row r="175">
      <x:c r="A175" t="str">
        <x:v>L-0174</x:v>
      </x:c>
      <x:c r="B175" t="str">
        <x:v>Noah</x:v>
      </x:c>
      <x:c r="C175" t="str">
        <x:v>Martinez</x:v>
      </x:c>
      <x:c r="D175" t="str">
        <x:v>Prairie Health</x:v>
      </x:c>
      <x:c r="E175" t="str">
        <x:v>noah.martinez562@mailhub.net</x:v>
      </x:c>
      <x:c r="F175" t="str">
        <x:v>(838) 947-3315</x:v>
      </x:c>
      <x:c r="G175" t="str">
        <x:v>CO</x:v>
      </x:c>
      <x:c r="H175" t="str">
        <x:v>Referral</x:v>
      </x:c>
      <x:c r="I175" t="str">
        <x:v>Opportunity</x:v>
      </x:c>
      <x:c r="J175" t="str">
        <x:v>Casey Patel</x:v>
      </x:c>
      <x:c r="K175" s="6" t="n">
        <x:v>46192</x:v>
      </x:c>
      <x:c r="L175" s="6" t="n">
        <x:v>46205</x:v>
      </x:c>
      <x:c r="M175" s="6" t="n">
        <x:v>46225</x:v>
      </x:c>
      <x:c r="N175" s="8" t="n">
        <x:v>45700</x:v>
      </x:c>
      <x:c r="O175" t="str">
        <x:v>Logistics</x:v>
      </x:c>
      <x:c r="P175" t="str">
        <x:v>Yes</x:v>
      </x:c>
      <x:c r="Q175" t="str">
        <x:v>No</x:v>
      </x:c>
      <x:c r="R175" s="6"/>
      <x:c r="S175" t="str">
        <x:f>IF(E175="","Unique",IF(COUNTIF($E$2:E175,E175)&gt;1,"Duplicate","Unique"))</x:f>
        <x:v>Unique</x:v>
      </x:c>
      <x:c r="T175" t="str">
        <x:f>IF(J175="Unassigned","Yes","No")</x:f>
        <x:v>No</x:v>
      </x:c>
      <x:c r="U175" t="str">
        <x:f>IF(AND(E175="",F175=""),"Yes","No")</x:f>
        <x:v>No</x:v>
      </x:c>
      <x:c r="V175" t="str">
        <x:f>IF(AND('Dashboard'!$B$2-L175&gt;30,I175&lt;&gt;"Closed Won",I175&lt;&gt;"Closed Lost"),"Yes","No")</x:f>
        <x:v>Yes</x:v>
      </x:c>
      <x:c r="W175" t="str">
        <x:f>IF(AND(M175&lt;&gt;"",M175&lt;'Dashboard'!$B$2,I175&lt;&gt;"Closed Won",I175&lt;&gt;"Closed Lost"),"Yes","No")</x:f>
        <x:v>Yes</x:v>
      </x:c>
      <x:c r="X175" t="str">
        <x:f>IF(OR(S175="Duplicate",T175="Yes",U175="Yes",D175="Unknown",W175="Yes"),"Yes","No")</x:f>
        <x:v>Yes</x:v>
      </x:c>
      <x:c r="Y175" t="n">
        <x:f>IF(S175="Duplicate",0,1)</x:f>
        <x:v>1</x:v>
      </x:c>
    </x:row>
    <x:row r="176">
      <x:c r="A176" t="str">
        <x:v>L-0175</x:v>
      </x:c>
      <x:c r="B176" t="str">
        <x:v>Sophia</x:v>
      </x:c>
      <x:c r="C176" t="str">
        <x:v>Anderson</x:v>
      </x:c>
      <x:c r="D176" t="str">
        <x:v>Summit Analytics</x:v>
      </x:c>
      <x:c r="E176" t="str">
        <x:v>ethan.taylor58@examplebiz.com</x:v>
      </x:c>
      <x:c r="F176" t="str">
        <x:v>(697) 811-9709</x:v>
      </x:c>
      <x:c r="G176" t="str">
        <x:v>NY</x:v>
      </x:c>
      <x:c r="H176" t="str">
        <x:v>Email Campaign</x:v>
      </x:c>
      <x:c r="I176" t="str">
        <x:v>Opportunity</x:v>
      </x:c>
      <x:c r="J176" t="str">
        <x:v>Jordan Lee</x:v>
      </x:c>
      <x:c r="K176" s="6" t="n">
        <x:v>46187</x:v>
      </x:c>
      <x:c r="L176" s="6" t="n">
        <x:v>46235</x:v>
      </x:c>
      <x:c r="M176" s="6" t="n">
        <x:v>46254</x:v>
      </x:c>
      <x:c r="N176" s="8" t="n">
        <x:v>83100</x:v>
      </x:c>
      <x:c r="O176" t="str">
        <x:v>Healthcare</x:v>
      </x:c>
      <x:c r="P176" t="str">
        <x:v>Yes</x:v>
      </x:c>
      <x:c r="Q176" t="str">
        <x:v>No</x:v>
      </x:c>
      <x:c r="R176" s="6"/>
      <x:c r="S176" t="str">
        <x:f>IF(E176="","Unique",IF(COUNTIF($E$2:E176,E176)&gt;1,"Duplicate","Unique"))</x:f>
        <x:v>Duplicate</x:v>
      </x:c>
      <x:c r="T176" t="str">
        <x:f>IF(J176="Unassigned","Yes","No")</x:f>
        <x:v>No</x:v>
      </x:c>
      <x:c r="U176" t="str">
        <x:f>IF(AND(E176="",F176=""),"Yes","No")</x:f>
        <x:v>No</x:v>
      </x:c>
      <x:c r="V176" t="str">
        <x:f>IF(AND('Dashboard'!$B$2-L176&gt;30,I176&lt;&gt;"Closed Won",I176&lt;&gt;"Closed Lost"),"Yes","No")</x:f>
        <x:v>No</x:v>
      </x:c>
      <x:c r="W176" t="str">
        <x:f>IF(AND(M176&lt;&gt;"",M176&lt;'Dashboard'!$B$2,I176&lt;&gt;"Closed Won",I176&lt;&gt;"Closed Lost"),"Yes","No")</x:f>
        <x:v>No</x:v>
      </x:c>
      <x:c r="X176" t="str">
        <x:f>IF(OR(S176="Duplicate",T176="Yes",U176="Yes",D176="Unknown",W176="Yes"),"Yes","No")</x:f>
        <x:v>Yes</x:v>
      </x:c>
      <x:c r="Y176" t="n">
        <x:f>IF(S176="Duplicate",0,1)</x:f>
        <x:v>0</x:v>
      </x:c>
    </x:row>
    <x:row r="177">
      <x:c r="A177" t="str">
        <x:v>L-0176</x:v>
      </x:c>
      <x:c r="B177" t="str">
        <x:v>Evelyn</x:v>
      </x:c>
      <x:c r="C177" t="str">
        <x:v>Rodriguez</x:v>
      </x:c>
      <x:c r="D177" t="str">
        <x:v>Peakline Systems</x:v>
      </x:c>
      <x:c r="E177" t="str">
        <x:v>evelyn.rodriguez156@prospect.co</x:v>
      </x:c>
      <x:c r="F177" t="str">
        <x:v>(603) 872-3248</x:v>
      </x:c>
      <x:c r="G177" t="str">
        <x:v>AZ</x:v>
      </x:c>
      <x:c r="H177" t="str">
        <x:v>Email Campaign</x:v>
      </x:c>
      <x:c r="I177" t="str">
        <x:v>Closed Won</x:v>
      </x:c>
      <x:c r="J177" t="str">
        <x:v>Taylor Morgan</x:v>
      </x:c>
      <x:c r="K177" s="6" t="n">
        <x:v>46239</x:v>
      </x:c>
      <x:c r="L177" s="6" t="n">
        <x:v>46247</x:v>
      </x:c>
      <x:c r="M177" s="6"/>
      <x:c r="N177" s="8" t="n">
        <x:v>80800</x:v>
      </x:c>
      <x:c r="O177" t="str">
        <x:v>Financial Services</x:v>
      </x:c>
      <x:c r="P177" t="str">
        <x:v>Yes</x:v>
      </x:c>
      <x:c r="Q177" t="str">
        <x:v>Yes</x:v>
      </x:c>
      <x:c r="R177" s="6" t="n">
        <x:v>46250</x:v>
      </x:c>
      <x:c r="S177" t="str">
        <x:f>IF(E177="","Unique",IF(COUNTIF($E$2:E177,E177)&gt;1,"Duplicate","Unique"))</x:f>
        <x:v>Unique</x:v>
      </x:c>
      <x:c r="T177" t="str">
        <x:f>IF(J177="Unassigned","Yes","No")</x:f>
        <x:v>No</x:v>
      </x:c>
      <x:c r="U177" t="str">
        <x:f>IF(AND(E177="",F177=""),"Yes","No")</x:f>
        <x:v>No</x:v>
      </x:c>
      <x:c r="V177" t="str">
        <x:f>IF(AND('Dashboard'!$B$2-L177&gt;30,I177&lt;&gt;"Closed Won",I177&lt;&gt;"Closed Lost"),"Yes","No")</x:f>
        <x:v>No</x:v>
      </x:c>
      <x:c r="W177" t="str">
        <x:f>IF(AND(M177&lt;&gt;"",M177&lt;'Dashboard'!$B$2,I177&lt;&gt;"Closed Won",I177&lt;&gt;"Closed Lost"),"Yes","No")</x:f>
        <x:v>No</x:v>
      </x:c>
      <x:c r="X177" t="str">
        <x:f>IF(OR(S177="Duplicate",T177="Yes",U177="Yes",D177="Unknown",W177="Yes"),"Yes","No")</x:f>
        <x:v>No</x:v>
      </x:c>
      <x:c r="Y177" t="n">
        <x:f>IF(S177="Duplicate",0,1)</x:f>
        <x:v>1</x:v>
      </x:c>
    </x:row>
    <x:row r="178">
      <x:c r="A178" t="str">
        <x:v>L-0177</x:v>
      </x:c>
      <x:c r="B178" t="str">
        <x:v>Luna</x:v>
      </x:c>
      <x:c r="C178" t="str">
        <x:v>Lee</x:v>
      </x:c>
      <x:c r="D178" t="str">
        <x:v>Apex Manufacturing</x:v>
      </x:c>
      <x:c r="E178" t="str">
        <x:v>luna.lee672@examplebiz.com</x:v>
      </x:c>
      <x:c r="F178" t="str">
        <x:v>(526) 269-9732</x:v>
      </x:c>
      <x:c r="G178" t="str">
        <x:v>NY</x:v>
      </x:c>
      <x:c r="H178" t="str">
        <x:v>LinkedIn</x:v>
      </x:c>
      <x:c r="I178" t="str">
        <x:v>Closed Lost</x:v>
      </x:c>
      <x:c r="J178" t="str">
        <x:v>Taylor Morgan</x:v>
      </x:c>
      <x:c r="K178" s="6" t="n">
        <x:v>46212</x:v>
      </x:c>
      <x:c r="L178" s="6" t="n">
        <x:v>46239</x:v>
      </x:c>
      <x:c r="M178" s="6"/>
      <x:c r="N178" s="8" t="n">
        <x:v>84600</x:v>
      </x:c>
      <x:c r="O178" t="str">
        <x:v>Manufacturing</x:v>
      </x:c>
      <x:c r="P178" t="str">
        <x:v>Yes</x:v>
      </x:c>
      <x:c r="Q178" t="str">
        <x:v>No</x:v>
      </x:c>
      <x:c r="R178" s="6" t="n">
        <x:v>46245</x:v>
      </x:c>
      <x:c r="S178" t="str">
        <x:f>IF(E178="","Unique",IF(COUNTIF($E$2:E178,E178)&gt;1,"Duplicate","Unique"))</x:f>
        <x:v>Unique</x:v>
      </x:c>
      <x:c r="T178" t="str">
        <x:f>IF(J178="Unassigned","Yes","No")</x:f>
        <x:v>No</x:v>
      </x:c>
      <x:c r="U178" t="str">
        <x:f>IF(AND(E178="",F178=""),"Yes","No")</x:f>
        <x:v>No</x:v>
      </x:c>
      <x:c r="V178" t="str">
        <x:f>IF(AND('Dashboard'!$B$2-L178&gt;30,I178&lt;&gt;"Closed Won",I178&lt;&gt;"Closed Lost"),"Yes","No")</x:f>
        <x:v>No</x:v>
      </x:c>
      <x:c r="W178" t="str">
        <x:f>IF(AND(M178&lt;&gt;"",M178&lt;'Dashboard'!$B$2,I178&lt;&gt;"Closed Won",I178&lt;&gt;"Closed Lost"),"Yes","No")</x:f>
        <x:v>No</x:v>
      </x:c>
      <x:c r="X178" t="str">
        <x:f>IF(OR(S178="Duplicate",T178="Yes",U178="Yes",D178="Unknown",W178="Yes"),"Yes","No")</x:f>
        <x:v>No</x:v>
      </x:c>
      <x:c r="Y178" t="n">
        <x:f>IF(S178="Duplicate",0,1)</x:f>
        <x:v>1</x:v>
      </x:c>
    </x:row>
    <x:row r="179">
      <x:c r="A179" t="str">
        <x:v>L-0178</x:v>
      </x:c>
      <x:c r="B179" t="str">
        <x:v>Noah</x:v>
      </x:c>
      <x:c r="C179" t="str">
        <x:v>Jones</x:v>
      </x:c>
      <x:c r="D179" t="str">
        <x:v>Cedarworks</x:v>
      </x:c>
      <x:c r="E179" t="str">
        <x:v>noah.jones27@prospect.co</x:v>
      </x:c>
      <x:c r="F179" t="str">
        <x:v>(282) 904-8808</x:v>
      </x:c>
      <x:c r="G179" t="str">
        <x:v>WA</x:v>
      </x:c>
      <x:c r="H179" t="str">
        <x:v>Trade Show</x:v>
      </x:c>
      <x:c r="I179" t="str">
        <x:v>Opportunity</x:v>
      </x:c>
      <x:c r="J179" t="str">
        <x:v>Jamie Brooks</x:v>
      </x:c>
      <x:c r="K179" s="6" t="n">
        <x:v>46090</x:v>
      </x:c>
      <x:c r="L179" s="6" t="n">
        <x:v>46149</x:v>
      </x:c>
      <x:c r="M179" s="6" t="n">
        <x:v>46171</x:v>
      </x:c>
      <x:c r="N179" s="8" t="n">
        <x:v>21700</x:v>
      </x:c>
      <x:c r="O179" t="str">
        <x:v>Healthcare</x:v>
      </x:c>
      <x:c r="P179" t="str">
        <x:v>Yes</x:v>
      </x:c>
      <x:c r="Q179" t="str">
        <x:v>No</x:v>
      </x:c>
      <x:c r="R179" s="6"/>
      <x:c r="S179" t="str">
        <x:f>IF(E179="","Unique",IF(COUNTIF($E$2:E179,E179)&gt;1,"Duplicate","Unique"))</x:f>
        <x:v>Unique</x:v>
      </x:c>
      <x:c r="T179" t="str">
        <x:f>IF(J179="Unassigned","Yes","No")</x:f>
        <x:v>No</x:v>
      </x:c>
      <x:c r="U179" t="str">
        <x:f>IF(AND(E179="",F179=""),"Yes","No")</x:f>
        <x:v>No</x:v>
      </x:c>
      <x:c r="V179" t="str">
        <x:f>IF(AND('Dashboard'!$B$2-L179&gt;30,I179&lt;&gt;"Closed Won",I179&lt;&gt;"Closed Lost"),"Yes","No")</x:f>
        <x:v>Yes</x:v>
      </x:c>
      <x:c r="W179" t="str">
        <x:f>IF(AND(M179&lt;&gt;"",M179&lt;'Dashboard'!$B$2,I179&lt;&gt;"Closed Won",I179&lt;&gt;"Closed Lost"),"Yes","No")</x:f>
        <x:v>Yes</x:v>
      </x:c>
      <x:c r="X179" t="str">
        <x:f>IF(OR(S179="Duplicate",T179="Yes",U179="Yes",D179="Unknown",W179="Yes"),"Yes","No")</x:f>
        <x:v>Yes</x:v>
      </x:c>
      <x:c r="Y179" t="n">
        <x:f>IF(S179="Duplicate",0,1)</x:f>
        <x:v>1</x:v>
      </x:c>
    </x:row>
    <x:row r="180">
      <x:c r="A180" t="str">
        <x:v>L-0179</x:v>
      </x:c>
      <x:c r="B180" t="str">
        <x:v>Olivia</x:v>
      </x:c>
      <x:c r="C180" t="str">
        <x:v>Miller</x:v>
      </x:c>
      <x:c r="D180" t="str">
        <x:v>Brightpath Health</x:v>
      </x:c>
      <x:c r="E180" t="str">
        <x:v>olivia.miller623@mailhub.net</x:v>
      </x:c>
      <x:c r="F180" t="str">
        <x:v>(938) 520-7457</x:v>
      </x:c>
      <x:c r="G180" t="str">
        <x:v>NC</x:v>
      </x:c>
      <x:c r="H180" t="str">
        <x:v>Email Campaign</x:v>
      </x:c>
      <x:c r="I180" t="str">
        <x:v>Qualified</x:v>
      </x:c>
      <x:c r="J180" t="str">
        <x:v>Jordan Lee</x:v>
      </x:c>
      <x:c r="K180" s="6" t="n">
        <x:v>46163</x:v>
      </x:c>
      <x:c r="L180" s="6" t="n">
        <x:v>46221</x:v>
      </x:c>
      <x:c r="M180" s="6" t="n">
        <x:v>46231</x:v>
      </x:c>
      <x:c r="N180" s="8" t="n">
        <x:v>37800</x:v>
      </x:c>
      <x:c r="O180" t="str">
        <x:v>Manufacturing</x:v>
      </x:c>
      <x:c r="P180" t="str">
        <x:v>Yes</x:v>
      </x:c>
      <x:c r="Q180" t="str">
        <x:v>No</x:v>
      </x:c>
      <x:c r="R180" s="6"/>
      <x:c r="S180" t="str">
        <x:f>IF(E180="","Unique",IF(COUNTIF($E$2:E180,E180)&gt;1,"Duplicate","Unique"))</x:f>
        <x:v>Unique</x:v>
      </x:c>
      <x:c r="T180" t="str">
        <x:f>IF(J180="Unassigned","Yes","No")</x:f>
        <x:v>No</x:v>
      </x:c>
      <x:c r="U180" t="str">
        <x:f>IF(AND(E180="",F180=""),"Yes","No")</x:f>
        <x:v>No</x:v>
      </x:c>
      <x:c r="V180" t="str">
        <x:f>IF(AND('Dashboard'!$B$2-L180&gt;30,I180&lt;&gt;"Closed Won",I180&lt;&gt;"Closed Lost"),"Yes","No")</x:f>
        <x:v>No</x:v>
      </x:c>
      <x:c r="W180" t="str">
        <x:f>IF(AND(M180&lt;&gt;"",M180&lt;'Dashboard'!$B$2,I180&lt;&gt;"Closed Won",I180&lt;&gt;"Closed Lost"),"Yes","No")</x:f>
        <x:v>Yes</x:v>
      </x:c>
      <x:c r="X180" t="str">
        <x:f>IF(OR(S180="Duplicate",T180="Yes",U180="Yes",D180="Unknown",W180="Yes"),"Yes","No")</x:f>
        <x:v>Yes</x:v>
      </x:c>
      <x:c r="Y180" t="n">
        <x:f>IF(S180="Duplicate",0,1)</x:f>
        <x:v>1</x:v>
      </x:c>
    </x:row>
    <x:row r="181">
      <x:c r="A181" t="str">
        <x:v>L-0180</x:v>
      </x:c>
      <x:c r="B181" t="str">
        <x:v>Evelyn</x:v>
      </x:c>
      <x:c r="C181" t="str">
        <x:v>Johnson</x:v>
      </x:c>
      <x:c r="D181" t="str">
        <x:v>Apex Manufacturing</x:v>
      </x:c>
      <x:c r="E181" t="str">
        <x:v>evelyn.johnson628@northmail.com</x:v>
      </x:c>
      <x:c r="F181" t="str">
        <x:v>907-729-3330</x:v>
      </x:c>
      <x:c r="G181" t="str">
        <x:v>NC</x:v>
      </x:c>
      <x:c r="H181" t="str">
        <x:v>Referral</x:v>
      </x:c>
      <x:c r="I181" t="str">
        <x:v>Contacted</x:v>
      </x:c>
      <x:c r="J181" t="str">
        <x:v>Casey Patel</x:v>
      </x:c>
      <x:c r="K181" s="6" t="n">
        <x:v>46035</x:v>
      </x:c>
      <x:c r="L181" s="6" t="n">
        <x:v>46108</x:v>
      </x:c>
      <x:c r="M181" s="6" t="n">
        <x:v>46125</x:v>
      </x:c>
      <x:c r="N181" s="8" t="n">
        <x:v>16200</x:v>
      </x:c>
      <x:c r="O181" t="str">
        <x:v>Financial Services</x:v>
      </x:c>
      <x:c r="P181" t="str">
        <x:v>No</x:v>
      </x:c>
      <x:c r="Q181" t="str">
        <x:v>No</x:v>
      </x:c>
      <x:c r="R181" s="6"/>
      <x:c r="S181" t="str">
        <x:f>IF(E181="","Unique",IF(COUNTIF($E$2:E181,E181)&gt;1,"Duplicate","Unique"))</x:f>
        <x:v>Unique</x:v>
      </x:c>
      <x:c r="T181" t="str">
        <x:f>IF(J181="Unassigned","Yes","No")</x:f>
        <x:v>No</x:v>
      </x:c>
      <x:c r="U181" t="str">
        <x:f>IF(AND(E181="",F181=""),"Yes","No")</x:f>
        <x:v>No</x:v>
      </x:c>
      <x:c r="V181" t="str">
        <x:f>IF(AND('Dashboard'!$B$2-L181&gt;30,I181&lt;&gt;"Closed Won",I181&lt;&gt;"Closed Lost"),"Yes","No")</x:f>
        <x:v>Yes</x:v>
      </x:c>
      <x:c r="W181" t="str">
        <x:f>IF(AND(M181&lt;&gt;"",M181&lt;'Dashboard'!$B$2,I181&lt;&gt;"Closed Won",I181&lt;&gt;"Closed Lost"),"Yes","No")</x:f>
        <x:v>Yes</x:v>
      </x:c>
      <x:c r="X181" t="str">
        <x:f>IF(OR(S181="Duplicate",T181="Yes",U181="Yes",D181="Unknown",W181="Yes"),"Yes","No")</x:f>
        <x:v>Yes</x:v>
      </x:c>
      <x:c r="Y181" t="n">
        <x:f>IF(S181="Duplicate",0,1)</x:f>
        <x:v>1</x:v>
      </x:c>
    </x:row>
    <x:row r="182">
      <x:c r="A182" t="str">
        <x:v>L-0181</x:v>
      </x:c>
      <x:c r="B182" t="str">
        <x:v>Mia</x:v>
      </x:c>
      <x:c r="C182" t="str">
        <x:v>Rodriguez</x:v>
      </x:c>
      <x:c r="D182" t="str">
        <x:v>Redstone Consulting</x:v>
      </x:c>
      <x:c r="E182" t="str">
        <x:v>mia.rodriguez725@mailhub.net</x:v>
      </x:c>
      <x:c r="F182" t="str">
        <x:v>(945) 723-3619</x:v>
      </x:c>
      <x:c r="G182" t="str">
        <x:v>PA</x:v>
      </x:c>
      <x:c r="H182" t="str">
        <x:v>LinkedIn</x:v>
      </x:c>
      <x:c r="I182" t="str">
        <x:v>New</x:v>
      </x:c>
      <x:c r="J182" t="str">
        <x:v>Alex Kim</x:v>
      </x:c>
      <x:c r="K182" s="6" t="n">
        <x:v>46066</x:v>
      </x:c>
      <x:c r="L182" s="6" t="n">
        <x:v>46181</x:v>
      </x:c>
      <x:c r="M182" s="6" t="n">
        <x:v>46204</x:v>
      </x:c>
      <x:c r="N182" s="8" t="n">
        <x:v>32400</x:v>
      </x:c>
      <x:c r="O182" t="str">
        <x:v>Manufacturing</x:v>
      </x:c>
      <x:c r="P182" t="str">
        <x:v>No</x:v>
      </x:c>
      <x:c r="Q182" t="str">
        <x:v>No</x:v>
      </x:c>
      <x:c r="R182" s="6"/>
      <x:c r="S182" t="str">
        <x:f>IF(E182="","Unique",IF(COUNTIF($E$2:E182,E182)&gt;1,"Duplicate","Unique"))</x:f>
        <x:v>Unique</x:v>
      </x:c>
      <x:c r="T182" t="str">
        <x:f>IF(J182="Unassigned","Yes","No")</x:f>
        <x:v>No</x:v>
      </x:c>
      <x:c r="U182" t="str">
        <x:f>IF(AND(E182="",F182=""),"Yes","No")</x:f>
        <x:v>No</x:v>
      </x:c>
      <x:c r="V182" t="str">
        <x:f>IF(AND('Dashboard'!$B$2-L182&gt;30,I182&lt;&gt;"Closed Won",I182&lt;&gt;"Closed Lost"),"Yes","No")</x:f>
        <x:v>Yes</x:v>
      </x:c>
      <x:c r="W182" t="str">
        <x:f>IF(AND(M182&lt;&gt;"",M182&lt;'Dashboard'!$B$2,I182&lt;&gt;"Closed Won",I182&lt;&gt;"Closed Lost"),"Yes","No")</x:f>
        <x:v>Yes</x:v>
      </x:c>
      <x:c r="X182" t="str">
        <x:f>IF(OR(S182="Duplicate",T182="Yes",U182="Yes",D182="Unknown",W182="Yes"),"Yes","No")</x:f>
        <x:v>Yes</x:v>
      </x:c>
      <x:c r="Y182" t="n">
        <x:f>IF(S182="Duplicate",0,1)</x:f>
        <x:v>1</x:v>
      </x:c>
    </x:row>
    <x:row r="183">
      <x:c r="A183" t="str">
        <x:v>L-0182</x:v>
      </x:c>
      <x:c r="B183" t="str">
        <x:v>Harper</x:v>
      </x:c>
      <x:c r="C183" t="str">
        <x:v>Martinez</x:v>
      </x:c>
      <x:c r="D183" t="str">
        <x:v>Cedarworks</x:v>
      </x:c>
      <x:c r="E183" t="str">
        <x:v>ava.miller369@examplebiz.com</x:v>
      </x:c>
      <x:c r="F183" t="str">
        <x:v>(823) 705-4897</x:v>
      </x:c>
      <x:c r="G183" t="str">
        <x:v>CA</x:v>
      </x:c>
      <x:c r="H183" t="str">
        <x:v>Outbound</x:v>
      </x:c>
      <x:c r="I183" t="str">
        <x:v>New</x:v>
      </x:c>
      <x:c r="J183" t="str">
        <x:v>Morgan Reed</x:v>
      </x:c>
      <x:c r="K183" s="6" t="n">
        <x:v>46051</x:v>
      </x:c>
      <x:c r="L183" s="6" t="n">
        <x:v>46115</x:v>
      </x:c>
      <x:c r="M183" s="6" t="n">
        <x:v>46118</x:v>
      </x:c>
      <x:c r="N183" s="8" t="n">
        <x:v>40300</x:v>
      </x:c>
      <x:c r="O183" t="str">
        <x:v>Technology</x:v>
      </x:c>
      <x:c r="P183" t="str">
        <x:v>No</x:v>
      </x:c>
      <x:c r="Q183" t="str">
        <x:v>No</x:v>
      </x:c>
      <x:c r="R183" s="6"/>
      <x:c r="S183" t="str">
        <x:f>IF(E183="","Unique",IF(COUNTIF($E$2:E183,E183)&gt;1,"Duplicate","Unique"))</x:f>
        <x:v>Duplicate</x:v>
      </x:c>
      <x:c r="T183" t="str">
        <x:f>IF(J183="Unassigned","Yes","No")</x:f>
        <x:v>No</x:v>
      </x:c>
      <x:c r="U183" t="str">
        <x:f>IF(AND(E183="",F183=""),"Yes","No")</x:f>
        <x:v>No</x:v>
      </x:c>
      <x:c r="V183" t="str">
        <x:f>IF(AND('Dashboard'!$B$2-L183&gt;30,I183&lt;&gt;"Closed Won",I183&lt;&gt;"Closed Lost"),"Yes","No")</x:f>
        <x:v>Yes</x:v>
      </x:c>
      <x:c r="W183" t="str">
        <x:f>IF(AND(M183&lt;&gt;"",M183&lt;'Dashboard'!$B$2,I183&lt;&gt;"Closed Won",I183&lt;&gt;"Closed Lost"),"Yes","No")</x:f>
        <x:v>Yes</x:v>
      </x:c>
      <x:c r="X183" t="str">
        <x:f>IF(OR(S183="Duplicate",T183="Yes",U183="Yes",D183="Unknown",W183="Yes"),"Yes","No")</x:f>
        <x:v>Yes</x:v>
      </x:c>
      <x:c r="Y183" t="n">
        <x:f>IF(S183="Duplicate",0,1)</x:f>
        <x:v>0</x:v>
      </x:c>
    </x:row>
    <x:row r="184">
      <x:c r="A184" t="str">
        <x:v>L-0183</x:v>
      </x:c>
      <x:c r="B184" t="str">
        <x:v>Emma</x:v>
      </x:c>
      <x:c r="C184" t="str">
        <x:v>Johnson</x:v>
      </x:c>
      <x:c r="D184" t="str">
        <x:v>Evergreen Services</x:v>
      </x:c>
      <x:c r="E184" t="str">
        <x:v>emma.johnson709@examplebiz.com</x:v>
      </x:c>
      <x:c r="F184" t="str">
        <x:v>(667) 967-6901</x:v>
      </x:c>
      <x:c r="G184" t="str">
        <x:v>TX</x:v>
      </x:c>
      <x:c r="H184" t="str">
        <x:v>Website</x:v>
      </x:c>
      <x:c r="I184" t="str">
        <x:v>Contacted</x:v>
      </x:c>
      <x:c r="J184" t="str">
        <x:v>Jamie Brooks</x:v>
      </x:c>
      <x:c r="K184" s="6" t="n">
        <x:v>46201</x:v>
      </x:c>
      <x:c r="L184" s="6" t="n">
        <x:v>46211</x:v>
      </x:c>
      <x:c r="M184" s="6" t="n">
        <x:v>46235</x:v>
      </x:c>
      <x:c r="N184" s="8" t="n">
        <x:v>26000</x:v>
      </x:c>
      <x:c r="O184" t="str">
        <x:v>Biotech</x:v>
      </x:c>
      <x:c r="P184" t="str">
        <x:v>No</x:v>
      </x:c>
      <x:c r="Q184" t="str">
        <x:v>No</x:v>
      </x:c>
      <x:c r="R184" s="6"/>
      <x:c r="S184" t="str">
        <x:f>IF(E184="","Unique",IF(COUNTIF($E$2:E184,E184)&gt;1,"Duplicate","Unique"))</x:f>
        <x:v>Unique</x:v>
      </x:c>
      <x:c r="T184" t="str">
        <x:f>IF(J184="Unassigned","Yes","No")</x:f>
        <x:v>No</x:v>
      </x:c>
      <x:c r="U184" t="str">
        <x:f>IF(AND(E184="",F184=""),"Yes","No")</x:f>
        <x:v>No</x:v>
      </x:c>
      <x:c r="V184" t="str">
        <x:f>IF(AND('Dashboard'!$B$2-L184&gt;30,I184&lt;&gt;"Closed Won",I184&lt;&gt;"Closed Lost"),"Yes","No")</x:f>
        <x:v>Yes</x:v>
      </x:c>
      <x:c r="W184" t="str">
        <x:f>IF(AND(M184&lt;&gt;"",M184&lt;'Dashboard'!$B$2,I184&lt;&gt;"Closed Won",I184&lt;&gt;"Closed Lost"),"Yes","No")</x:f>
        <x:v>Yes</x:v>
      </x:c>
      <x:c r="X184" t="str">
        <x:f>IF(OR(S184="Duplicate",T184="Yes",U184="Yes",D184="Unknown",W184="Yes"),"Yes","No")</x:f>
        <x:v>Yes</x:v>
      </x:c>
      <x:c r="Y184" t="n">
        <x:f>IF(S184="Duplicate",0,1)</x:f>
        <x:v>1</x:v>
      </x:c>
    </x:row>
    <x:row r="185">
      <x:c r="A185" t="str">
        <x:v>L-0184</x:v>
      </x:c>
      <x:c r="B185" t="str">
        <x:v>Evelyn</x:v>
      </x:c>
      <x:c r="C185" t="str">
        <x:v>Miller</x:v>
      </x:c>
      <x:c r="D185" t="str">
        <x:v>Apex Manufacturing</x:v>
      </x:c>
      <x:c r="E185" t="str">
        <x:v>evelyn.miller620@prospect.co</x:v>
      </x:c>
      <x:c r="F185" t="str">
        <x:v>(638) 823-6185</x:v>
      </x:c>
      <x:c r="G185" t="str">
        <x:v>TX</x:v>
      </x:c>
      <x:c r="H185" t="str">
        <x:v>Trade Show</x:v>
      </x:c>
      <x:c r="I185" t="str">
        <x:v>Closed Lost</x:v>
      </x:c>
      <x:c r="J185" t="str">
        <x:v>Jamie Brooks</x:v>
      </x:c>
      <x:c r="K185" s="6" t="n">
        <x:v>46111</x:v>
      </x:c>
      <x:c r="L185" s="6" t="n">
        <x:v>46133</x:v>
      </x:c>
      <x:c r="M185" s="6"/>
      <x:c r="N185" s="8" t="n">
        <x:v>42400</x:v>
      </x:c>
      <x:c r="O185" t="str">
        <x:v>Healthcare</x:v>
      </x:c>
      <x:c r="P185" t="str">
        <x:v>Yes</x:v>
      </x:c>
      <x:c r="Q185" t="str">
        <x:v>No</x:v>
      </x:c>
      <x:c r="R185" s="6" t="n">
        <x:v>46140</x:v>
      </x:c>
      <x:c r="S185" t="str">
        <x:f>IF(E185="","Unique",IF(COUNTIF($E$2:E185,E185)&gt;1,"Duplicate","Unique"))</x:f>
        <x:v>Unique</x:v>
      </x:c>
      <x:c r="T185" t="str">
        <x:f>IF(J185="Unassigned","Yes","No")</x:f>
        <x:v>No</x:v>
      </x:c>
      <x:c r="U185" t="str">
        <x:f>IF(AND(E185="",F185=""),"Yes","No")</x:f>
        <x:v>No</x:v>
      </x:c>
      <x:c r="V185" t="str">
        <x:f>IF(AND('Dashboard'!$B$2-L185&gt;30,I185&lt;&gt;"Closed Won",I185&lt;&gt;"Closed Lost"),"Yes","No")</x:f>
        <x:v>No</x:v>
      </x:c>
      <x:c r="W185" t="str">
        <x:f>IF(AND(M185&lt;&gt;"",M185&lt;'Dashboard'!$B$2,I185&lt;&gt;"Closed Won",I185&lt;&gt;"Closed Lost"),"Yes","No")</x:f>
        <x:v>No</x:v>
      </x:c>
      <x:c r="X185" t="str">
        <x:f>IF(OR(S185="Duplicate",T185="Yes",U185="Yes",D185="Unknown",W185="Yes"),"Yes","No")</x:f>
        <x:v>No</x:v>
      </x:c>
      <x:c r="Y185" t="n">
        <x:f>IF(S185="Duplicate",0,1)</x:f>
        <x:v>1</x:v>
      </x:c>
    </x:row>
    <x:row r="186">
      <x:c r="A186" t="str">
        <x:v>L-0185</x:v>
      </x:c>
      <x:c r="B186" t="str">
        <x:v>Noah</x:v>
      </x:c>
      <x:c r="C186" t="str">
        <x:v>Miller</x:v>
      </x:c>
      <x:c r="D186" t="str">
        <x:v>Vertex Solutions</x:v>
      </x:c>
      <x:c r="E186" t="str"/>
      <x:c r="F186" t="str">
        <x:v>(270) 515-5919</x:v>
      </x:c>
      <x:c r="G186" t="str">
        <x:v>CO</x:v>
      </x:c>
      <x:c r="H186" t="str">
        <x:v>Referral</x:v>
      </x:c>
      <x:c r="I186" t="str">
        <x:v>Qualified</x:v>
      </x:c>
      <x:c r="J186" t="str">
        <x:v>Jamie Brooks</x:v>
      </x:c>
      <x:c r="K186" s="6" t="n">
        <x:v>46083</x:v>
      </x:c>
      <x:c r="L186" s="6" t="n">
        <x:v>46137</x:v>
      </x:c>
      <x:c r="M186" s="6" t="n">
        <x:v>46140</x:v>
      </x:c>
      <x:c r="N186" s="8" t="n">
        <x:v>55400</x:v>
      </x:c>
      <x:c r="O186" t="str">
        <x:v>Professional Services</x:v>
      </x:c>
      <x:c r="P186" t="str">
        <x:v>Yes</x:v>
      </x:c>
      <x:c r="Q186" t="str">
        <x:v>No</x:v>
      </x:c>
      <x:c r="R186" s="6"/>
      <x:c r="S186" t="str">
        <x:f>IF(E186="","Unique",IF(COUNTIF($E$2:E186,E186)&gt;1,"Duplicate","Unique"))</x:f>
        <x:v>Unique</x:v>
      </x:c>
      <x:c r="T186" t="str">
        <x:f>IF(J186="Unassigned","Yes","No")</x:f>
        <x:v>No</x:v>
      </x:c>
      <x:c r="U186" t="str">
        <x:f>IF(AND(E186="",F186=""),"Yes","No")</x:f>
        <x:v>No</x:v>
      </x:c>
      <x:c r="V186" t="str">
        <x:f>IF(AND('Dashboard'!$B$2-L186&gt;30,I186&lt;&gt;"Closed Won",I186&lt;&gt;"Closed Lost"),"Yes","No")</x:f>
        <x:v>Yes</x:v>
      </x:c>
      <x:c r="W186" t="str">
        <x:f>IF(AND(M186&lt;&gt;"",M186&lt;'Dashboard'!$B$2,I186&lt;&gt;"Closed Won",I186&lt;&gt;"Closed Lost"),"Yes","No")</x:f>
        <x:v>Yes</x:v>
      </x:c>
      <x:c r="X186" t="str">
        <x:f>IF(OR(S186="Duplicate",T186="Yes",U186="Yes",D186="Unknown",W186="Yes"),"Yes","No")</x:f>
        <x:v>Yes</x:v>
      </x:c>
      <x:c r="Y186" t="n">
        <x:f>IF(S186="Duplicate",0,1)</x:f>
        <x:v>1</x:v>
      </x:c>
    </x:row>
    <x:row r="187">
      <x:c r="A187" t="str">
        <x:v>L-0186</x:v>
      </x:c>
      <x:c r="B187" t="str">
        <x:v>Liam</x:v>
      </x:c>
      <x:c r="C187" t="str">
        <x:v>Jones</x:v>
      </x:c>
      <x:c r="D187" t="str">
        <x:v>Atlas Commerce</x:v>
      </x:c>
      <x:c r="E187" t="str">
        <x:v>liam.jones951@northmail.com</x:v>
      </x:c>
      <x:c r="F187" t="str">
        <x:v>(734) 506-6169</x:v>
      </x:c>
      <x:c r="G187" t="str">
        <x:v>OH</x:v>
      </x:c>
      <x:c r="H187" t="str">
        <x:v>Webinar</x:v>
      </x:c>
      <x:c r="I187" t="str">
        <x:v>Closed Won</x:v>
      </x:c>
      <x:c r="J187" t="str">
        <x:v>Unassigned</x:v>
      </x:c>
      <x:c r="K187" s="6" t="n">
        <x:v>46161</x:v>
      </x:c>
      <x:c r="L187" s="6" t="n">
        <x:v>46220</x:v>
      </x:c>
      <x:c r="M187" s="6"/>
      <x:c r="N187" s="8" t="n">
        <x:v>67200</x:v>
      </x:c>
      <x:c r="O187" t="str">
        <x:v>Manufacturing</x:v>
      </x:c>
      <x:c r="P187" t="str">
        <x:v>Yes</x:v>
      </x:c>
      <x:c r="Q187" t="str">
        <x:v>Yes</x:v>
      </x:c>
      <x:c r="R187" s="6" t="n">
        <x:v>46221</x:v>
      </x:c>
      <x:c r="S187" t="str">
        <x:f>IF(E187="","Unique",IF(COUNTIF($E$2:E187,E187)&gt;1,"Duplicate","Unique"))</x:f>
        <x:v>Unique</x:v>
      </x:c>
      <x:c r="T187" t="str">
        <x:f>IF(J187="Unassigned","Yes","No")</x:f>
        <x:v>Yes</x:v>
      </x:c>
      <x:c r="U187" t="str">
        <x:f>IF(AND(E187="",F187=""),"Yes","No")</x:f>
        <x:v>No</x:v>
      </x:c>
      <x:c r="V187" t="str">
        <x:f>IF(AND('Dashboard'!$B$2-L187&gt;30,I187&lt;&gt;"Closed Won",I187&lt;&gt;"Closed Lost"),"Yes","No")</x:f>
        <x:v>No</x:v>
      </x:c>
      <x:c r="W187" t="str">
        <x:f>IF(AND(M187&lt;&gt;"",M187&lt;'Dashboard'!$B$2,I187&lt;&gt;"Closed Won",I187&lt;&gt;"Closed Lost"),"Yes","No")</x:f>
        <x:v>No</x:v>
      </x:c>
      <x:c r="X187" t="str">
        <x:f>IF(OR(S187="Duplicate",T187="Yes",U187="Yes",D187="Unknown",W187="Yes"),"Yes","No")</x:f>
        <x:v>Yes</x:v>
      </x:c>
      <x:c r="Y187" t="n">
        <x:f>IF(S187="Duplicate",0,1)</x:f>
        <x:v>1</x:v>
      </x:c>
    </x:row>
    <x:row r="188">
      <x:c r="A188" t="str">
        <x:v>L-0187</x:v>
      </x:c>
      <x:c r="B188" t="str">
        <x:v>Ethan</x:v>
      </x:c>
      <x:c r="C188" t="str">
        <x:v>Thompson</x:v>
      </x:c>
      <x:c r="D188" t="str">
        <x:v>Summit Analytics</x:v>
      </x:c>
      <x:c r="E188" t="str">
        <x:v>ethan.thompson381@mailhub.net</x:v>
      </x:c>
      <x:c r="F188" t="str">
        <x:v>(510) 421-9603</x:v>
      </x:c>
      <x:c r="G188" t="str">
        <x:v>PA</x:v>
      </x:c>
      <x:c r="H188" t="str">
        <x:v>Email Campaign</x:v>
      </x:c>
      <x:c r="I188" t="str">
        <x:v>Opportunity</x:v>
      </x:c>
      <x:c r="J188" t="str">
        <x:v>Taylor Morgan</x:v>
      </x:c>
      <x:c r="K188" s="6" t="n">
        <x:v>46177</x:v>
      </x:c>
      <x:c r="L188" s="6" t="n">
        <x:v>46229</x:v>
      </x:c>
      <x:c r="M188" s="6" t="n">
        <x:v>46234</x:v>
      </x:c>
      <x:c r="N188" s="8" t="n">
        <x:v>43500</x:v>
      </x:c>
      <x:c r="O188" t="str">
        <x:v>Financial Services</x:v>
      </x:c>
      <x:c r="P188" t="str">
        <x:v>Yes</x:v>
      </x:c>
      <x:c r="Q188" t="str">
        <x:v>No</x:v>
      </x:c>
      <x:c r="R188" s="6"/>
      <x:c r="S188" t="str">
        <x:f>IF(E188="","Unique",IF(COUNTIF($E$2:E188,E188)&gt;1,"Duplicate","Unique"))</x:f>
        <x:v>Unique</x:v>
      </x:c>
      <x:c r="T188" t="str">
        <x:f>IF(J188="Unassigned","Yes","No")</x:f>
        <x:v>No</x:v>
      </x:c>
      <x:c r="U188" t="str">
        <x:f>IF(AND(E188="",F188=""),"Yes","No")</x:f>
        <x:v>No</x:v>
      </x:c>
      <x:c r="V188" t="str">
        <x:f>IF(AND('Dashboard'!$B$2-L188&gt;30,I188&lt;&gt;"Closed Won",I188&lt;&gt;"Closed Lost"),"Yes","No")</x:f>
        <x:v>No</x:v>
      </x:c>
      <x:c r="W188" t="str">
        <x:f>IF(AND(M188&lt;&gt;"",M188&lt;'Dashboard'!$B$2,I188&lt;&gt;"Closed Won",I188&lt;&gt;"Closed Lost"),"Yes","No")</x:f>
        <x:v>Yes</x:v>
      </x:c>
      <x:c r="X188" t="str">
        <x:f>IF(OR(S188="Duplicate",T188="Yes",U188="Yes",D188="Unknown",W188="Yes"),"Yes","No")</x:f>
        <x:v>Yes</x:v>
      </x:c>
      <x:c r="Y188" t="n">
        <x:f>IF(S188="Duplicate",0,1)</x:f>
        <x:v>1</x:v>
      </x:c>
    </x:row>
    <x:row r="189">
      <x:c r="A189" t="str">
        <x:v>L-0188</x:v>
      </x:c>
      <x:c r="B189" t="str">
        <x:v>Noah</x:v>
      </x:c>
      <x:c r="C189" t="str">
        <x:v>Martin</x:v>
      </x:c>
      <x:c r="D189" t="str">
        <x:v>Blue Ridge Supply</x:v>
      </x:c>
      <x:c r="E189" t="str">
        <x:v>noah.martin704@northmail.com</x:v>
      </x:c>
      <x:c r="F189" t="str"/>
      <x:c r="G189" t="str">
        <x:v>PA</x:v>
      </x:c>
      <x:c r="H189" t="str">
        <x:v>Website</x:v>
      </x:c>
      <x:c r="I189" t="str">
        <x:v>Contacted</x:v>
      </x:c>
      <x:c r="J189" t="str">
        <x:v>Jordan Lee</x:v>
      </x:c>
      <x:c r="K189" s="6" t="n">
        <x:v>46113</x:v>
      </x:c>
      <x:c r="L189" s="6" t="n">
        <x:v>46142</x:v>
      </x:c>
      <x:c r="M189" s="6" t="n">
        <x:v>46145</x:v>
      </x:c>
      <x:c r="N189" s="8" t="n">
        <x:v>28200</x:v>
      </x:c>
      <x:c r="O189" t="str">
        <x:v>Retail</x:v>
      </x:c>
      <x:c r="P189" t="str">
        <x:v>No</x:v>
      </x:c>
      <x:c r="Q189" t="str">
        <x:v>No</x:v>
      </x:c>
      <x:c r="R189" s="6"/>
      <x:c r="S189" t="str">
        <x:f>IF(E189="","Unique",IF(COUNTIF($E$2:E189,E189)&gt;1,"Duplicate","Unique"))</x:f>
        <x:v>Unique</x:v>
      </x:c>
      <x:c r="T189" t="str">
        <x:f>IF(J189="Unassigned","Yes","No")</x:f>
        <x:v>No</x:v>
      </x:c>
      <x:c r="U189" t="str">
        <x:f>IF(AND(E189="",F189=""),"Yes","No")</x:f>
        <x:v>No</x:v>
      </x:c>
      <x:c r="V189" t="str">
        <x:f>IF(AND('Dashboard'!$B$2-L189&gt;30,I189&lt;&gt;"Closed Won",I189&lt;&gt;"Closed Lost"),"Yes","No")</x:f>
        <x:v>Yes</x:v>
      </x:c>
      <x:c r="W189" t="str">
        <x:f>IF(AND(M189&lt;&gt;"",M189&lt;'Dashboard'!$B$2,I189&lt;&gt;"Closed Won",I189&lt;&gt;"Closed Lost"),"Yes","No")</x:f>
        <x:v>Yes</x:v>
      </x:c>
      <x:c r="X189" t="str">
        <x:f>IF(OR(S189="Duplicate",T189="Yes",U189="Yes",D189="Unknown",W189="Yes"),"Yes","No")</x:f>
        <x:v>Yes</x:v>
      </x:c>
      <x:c r="Y189" t="n">
        <x:f>IF(S189="Duplicate",0,1)</x:f>
        <x:v>1</x:v>
      </x:c>
    </x:row>
    <x:row r="190">
      <x:c r="A190" t="str">
        <x:v>L-0189</x:v>
      </x:c>
      <x:c r="B190" t="str">
        <x:v>Sophia</x:v>
      </x:c>
      <x:c r="C190" t="str">
        <x:v>Brown</x:v>
      </x:c>
      <x:c r="D190" t="str">
        <x:v>Northstar Labs</x:v>
      </x:c>
      <x:c r="E190" t="str"/>
      <x:c r="F190" t="str">
        <x:v>(273) 518-6549</x:v>
      </x:c>
      <x:c r="G190" t="str">
        <x:v>FL</x:v>
      </x:c>
      <x:c r="H190" t="str">
        <x:v>Trade Show</x:v>
      </x:c>
      <x:c r="I190" t="str">
        <x:v>Qualified</x:v>
      </x:c>
      <x:c r="J190" t="str">
        <x:v>Unassigned</x:v>
      </x:c>
      <x:c r="K190" s="6" t="n">
        <x:v>46177</x:v>
      </x:c>
      <x:c r="L190" s="6" t="n">
        <x:v>46195</x:v>
      </x:c>
      <x:c r="M190" s="6" t="n">
        <x:v>46220</x:v>
      </x:c>
      <x:c r="N190" s="8" t="n">
        <x:v>68800</x:v>
      </x:c>
      <x:c r="O190" t="str">
        <x:v>Technology</x:v>
      </x:c>
      <x:c r="P190" t="str">
        <x:v>Yes</x:v>
      </x:c>
      <x:c r="Q190" t="str">
        <x:v>No</x:v>
      </x:c>
      <x:c r="R190" s="6"/>
      <x:c r="S190" t="str">
        <x:f>IF(E190="","Unique",IF(COUNTIF($E$2:E190,E190)&gt;1,"Duplicate","Unique"))</x:f>
        <x:v>Unique</x:v>
      </x:c>
      <x:c r="T190" t="str">
        <x:f>IF(J190="Unassigned","Yes","No")</x:f>
        <x:v>Yes</x:v>
      </x:c>
      <x:c r="U190" t="str">
        <x:f>IF(AND(E190="",F190=""),"Yes","No")</x:f>
        <x:v>No</x:v>
      </x:c>
      <x:c r="V190" t="str">
        <x:f>IF(AND('Dashboard'!$B$2-L190&gt;30,I190&lt;&gt;"Closed Won",I190&lt;&gt;"Closed Lost"),"Yes","No")</x:f>
        <x:v>Yes</x:v>
      </x:c>
      <x:c r="W190" t="str">
        <x:f>IF(AND(M190&lt;&gt;"",M190&lt;'Dashboard'!$B$2,I190&lt;&gt;"Closed Won",I190&lt;&gt;"Closed Lost"),"Yes","No")</x:f>
        <x:v>Yes</x:v>
      </x:c>
      <x:c r="X190" t="str">
        <x:f>IF(OR(S190="Duplicate",T190="Yes",U190="Yes",D190="Unknown",W190="Yes"),"Yes","No")</x:f>
        <x:v>Yes</x:v>
      </x:c>
      <x:c r="Y190" t="n">
        <x:f>IF(S190="Duplicate",0,1)</x:f>
        <x:v>1</x:v>
      </x:c>
    </x:row>
    <x:row r="191">
      <x:c r="A191" t="str">
        <x:v>L-0190</x:v>
      </x:c>
      <x:c r="B191" t="str">
        <x:v>Lucas</x:v>
      </x:c>
      <x:c r="C191" t="str">
        <x:v>Wilson</x:v>
      </x:c>
      <x:c r="D191" t="str">
        <x:v>Apex Manufacturing</x:v>
      </x:c>
      <x:c r="E191" t="str">
        <x:v>lucas.wilson701@mailhub.net</x:v>
      </x:c>
      <x:c r="F191" t="str">
        <x:v>682-437-4666</x:v>
      </x:c>
      <x:c r="G191" t="str">
        <x:v>NC</x:v>
      </x:c>
      <x:c r="H191" t="str">
        <x:v>Trade Show</x:v>
      </x:c>
      <x:c r="I191" t="str">
        <x:v>New</x:v>
      </x:c>
      <x:c r="J191" t="str">
        <x:v>Casey Patel</x:v>
      </x:c>
      <x:c r="K191" s="6" t="n">
        <x:v>46041</x:v>
      </x:c>
      <x:c r="L191" s="6" t="n">
        <x:v>46219</x:v>
      </x:c>
      <x:c r="M191" s="6" t="n">
        <x:v>46236</x:v>
      </x:c>
      <x:c r="N191" s="8" t="n">
        <x:v>10500</x:v>
      </x:c>
      <x:c r="O191" t="str">
        <x:v>Technology</x:v>
      </x:c>
      <x:c r="P191" t="str">
        <x:v>No</x:v>
      </x:c>
      <x:c r="Q191" t="str">
        <x:v>No</x:v>
      </x:c>
      <x:c r="R191" s="6"/>
      <x:c r="S191" t="str">
        <x:f>IF(E191="","Unique",IF(COUNTIF($E$2:E191,E191)&gt;1,"Duplicate","Unique"))</x:f>
        <x:v>Unique</x:v>
      </x:c>
      <x:c r="T191" t="str">
        <x:f>IF(J191="Unassigned","Yes","No")</x:f>
        <x:v>No</x:v>
      </x:c>
      <x:c r="U191" t="str">
        <x:f>IF(AND(E191="",F191=""),"Yes","No")</x:f>
        <x:v>No</x:v>
      </x:c>
      <x:c r="V191" t="str">
        <x:f>IF(AND('Dashboard'!$B$2-L191&gt;30,I191&lt;&gt;"Closed Won",I191&lt;&gt;"Closed Lost"),"Yes","No")</x:f>
        <x:v>Yes</x:v>
      </x:c>
      <x:c r="W191" t="str">
        <x:f>IF(AND(M191&lt;&gt;"",M191&lt;'Dashboard'!$B$2,I191&lt;&gt;"Closed Won",I191&lt;&gt;"Closed Lost"),"Yes","No")</x:f>
        <x:v>Yes</x:v>
      </x:c>
      <x:c r="X191" t="str">
        <x:f>IF(OR(S191="Duplicate",T191="Yes",U191="Yes",D191="Unknown",W191="Yes"),"Yes","No")</x:f>
        <x:v>Yes</x:v>
      </x:c>
      <x:c r="Y191" t="n">
        <x:f>IF(S191="Duplicate",0,1)</x:f>
        <x:v>1</x:v>
      </x:c>
    </x:row>
    <x:row r="192">
      <x:c r="A192" t="str">
        <x:v>L-0191</x:v>
      </x:c>
      <x:c r="B192" t="str">
        <x:v>Ethan</x:v>
      </x:c>
      <x:c r="C192" t="str">
        <x:v>Martinez</x:v>
      </x:c>
      <x:c r="D192" t="str">
        <x:v>Pioneer Tech</x:v>
      </x:c>
      <x:c r="E192" t="str">
        <x:v>ethan.martinez73@prospect.co</x:v>
      </x:c>
      <x:c r="F192" t="str">
        <x:v>(746) 672-7566</x:v>
      </x:c>
      <x:c r="G192" t="str">
        <x:v>GA</x:v>
      </x:c>
      <x:c r="H192" t="str">
        <x:v>Website</x:v>
      </x:c>
      <x:c r="I192" t="str">
        <x:v>Closed Won</x:v>
      </x:c>
      <x:c r="J192" t="str">
        <x:v>Jamie Brooks</x:v>
      </x:c>
      <x:c r="K192" s="6" t="n">
        <x:v>46043</x:v>
      </x:c>
      <x:c r="L192" s="6" t="n">
        <x:v>46070</x:v>
      </x:c>
      <x:c r="M192" s="6"/>
      <x:c r="N192" s="8" t="n">
        <x:v>29400</x:v>
      </x:c>
      <x:c r="O192" t="str">
        <x:v>Manufacturing</x:v>
      </x:c>
      <x:c r="P192" t="str">
        <x:v>Yes</x:v>
      </x:c>
      <x:c r="Q192" t="str">
        <x:v>Yes</x:v>
      </x:c>
      <x:c r="R192" s="6" t="n">
        <x:v>46073</x:v>
      </x:c>
      <x:c r="S192" t="str">
        <x:f>IF(E192="","Unique",IF(COUNTIF($E$2:E192,E192)&gt;1,"Duplicate","Unique"))</x:f>
        <x:v>Unique</x:v>
      </x:c>
      <x:c r="T192" t="str">
        <x:f>IF(J192="Unassigned","Yes","No")</x:f>
        <x:v>No</x:v>
      </x:c>
      <x:c r="U192" t="str">
        <x:f>IF(AND(E192="",F192=""),"Yes","No")</x:f>
        <x:v>No</x:v>
      </x:c>
      <x:c r="V192" t="str">
        <x:f>IF(AND('Dashboard'!$B$2-L192&gt;30,I192&lt;&gt;"Closed Won",I192&lt;&gt;"Closed Lost"),"Yes","No")</x:f>
        <x:v>No</x:v>
      </x:c>
      <x:c r="W192" t="str">
        <x:f>IF(AND(M192&lt;&gt;"",M192&lt;'Dashboard'!$B$2,I192&lt;&gt;"Closed Won",I192&lt;&gt;"Closed Lost"),"Yes","No")</x:f>
        <x:v>No</x:v>
      </x:c>
      <x:c r="X192" t="str">
        <x:f>IF(OR(S192="Duplicate",T192="Yes",U192="Yes",D192="Unknown",W192="Yes"),"Yes","No")</x:f>
        <x:v>No</x:v>
      </x:c>
      <x:c r="Y192" t="n">
        <x:f>IF(S192="Duplicate",0,1)</x:f>
        <x:v>1</x:v>
      </x:c>
    </x:row>
    <x:row r="193">
      <x:c r="A193" t="str">
        <x:v>L-0192</x:v>
      </x:c>
      <x:c r="B193" t="str">
        <x:v>Mia</x:v>
      </x:c>
      <x:c r="C193" t="str">
        <x:v>Perez</x:v>
      </x:c>
      <x:c r="D193" t="str">
        <x:v>Atlas Commerce</x:v>
      </x:c>
      <x:c r="E193" t="str">
        <x:v>mia.perez72@northmail.com</x:v>
      </x:c>
      <x:c r="F193" t="str">
        <x:v>(902) 810-7208</x:v>
      </x:c>
      <x:c r="G193" t="str">
        <x:v>WA</x:v>
      </x:c>
      <x:c r="H193" t="str">
        <x:v>Trade Show</x:v>
      </x:c>
      <x:c r="I193" t="str">
        <x:v>Contacted</x:v>
      </x:c>
      <x:c r="J193" t="str">
        <x:v>Morgan Reed</x:v>
      </x:c>
      <x:c r="K193" s="6" t="n">
        <x:v>46222</x:v>
      </x:c>
      <x:c r="L193" s="6" t="n">
        <x:v>46248</x:v>
      </x:c>
      <x:c r="M193" s="6" t="n">
        <x:v>46265</x:v>
      </x:c>
      <x:c r="N193" s="8" t="n">
        <x:v>17000</x:v>
      </x:c>
      <x:c r="O193" t="str">
        <x:v>Technology</x:v>
      </x:c>
      <x:c r="P193" t="str">
        <x:v>No</x:v>
      </x:c>
      <x:c r="Q193" t="str">
        <x:v>No</x:v>
      </x:c>
      <x:c r="R193" s="6"/>
      <x:c r="S193" t="str">
        <x:f>IF(E193="","Unique",IF(COUNTIF($E$2:E193,E193)&gt;1,"Duplicate","Unique"))</x:f>
        <x:v>Unique</x:v>
      </x:c>
      <x:c r="T193" t="str">
        <x:f>IF(J193="Unassigned","Yes","No")</x:f>
        <x:v>No</x:v>
      </x:c>
      <x:c r="U193" t="str">
        <x:f>IF(AND(E193="",F193=""),"Yes","No")</x:f>
        <x:v>No</x:v>
      </x:c>
      <x:c r="V193" t="str">
        <x:f>IF(AND('Dashboard'!$B$2-L193&gt;30,I193&lt;&gt;"Closed Won",I193&lt;&gt;"Closed Lost"),"Yes","No")</x:f>
        <x:v>No</x:v>
      </x:c>
      <x:c r="W193" t="str">
        <x:f>IF(AND(M193&lt;&gt;"",M193&lt;'Dashboard'!$B$2,I193&lt;&gt;"Closed Won",I193&lt;&gt;"Closed Lost"),"Yes","No")</x:f>
        <x:v>No</x:v>
      </x:c>
      <x:c r="X193" t="str">
        <x:f>IF(OR(S193="Duplicate",T193="Yes",U193="Yes",D193="Unknown",W193="Yes"),"Yes","No")</x:f>
        <x:v>No</x:v>
      </x:c>
      <x:c r="Y193" t="n">
        <x:f>IF(S193="Duplicate",0,1)</x:f>
        <x:v>1</x:v>
      </x:c>
    </x:row>
    <x:row r="194">
      <x:c r="A194" t="str">
        <x:v>L-0193</x:v>
      </x:c>
      <x:c r="B194" t="str">
        <x:v>Harper</x:v>
      </x:c>
      <x:c r="C194" t="str">
        <x:v>Miller</x:v>
      </x:c>
      <x:c r="D194" t="str">
        <x:v>Apex Manufacturing</x:v>
      </x:c>
      <x:c r="E194" t="str">
        <x:v>olivia.davis981@northmail.com</x:v>
      </x:c>
      <x:c r="F194" t="str">
        <x:v>(827) 722-7622</x:v>
      </x:c>
      <x:c r="G194" t="str">
        <x:v>NY</x:v>
      </x:c>
      <x:c r="H194" t="str">
        <x:v>Trade Show</x:v>
      </x:c>
      <x:c r="I194" t="str">
        <x:v>Closed Lost</x:v>
      </x:c>
      <x:c r="J194" t="str">
        <x:v>Casey Patel</x:v>
      </x:c>
      <x:c r="K194" s="6" t="n">
        <x:v>46169</x:v>
      </x:c>
      <x:c r="L194" s="6" t="n">
        <x:v>46224</x:v>
      </x:c>
      <x:c r="M194" s="6"/>
      <x:c r="N194" s="8" t="n">
        <x:v>61700</x:v>
      </x:c>
      <x:c r="O194" t="str">
        <x:v>Biotech</x:v>
      </x:c>
      <x:c r="P194" t="str">
        <x:v>Yes</x:v>
      </x:c>
      <x:c r="Q194" t="str">
        <x:v>No</x:v>
      </x:c>
      <x:c r="R194" s="6" t="n">
        <x:v>46229</x:v>
      </x:c>
      <x:c r="S194" t="str">
        <x:f>IF(E194="","Unique",IF(COUNTIF($E$2:E194,E194)&gt;1,"Duplicate","Unique"))</x:f>
        <x:v>Duplicate</x:v>
      </x:c>
      <x:c r="T194" t="str">
        <x:f>IF(J194="Unassigned","Yes","No")</x:f>
        <x:v>No</x:v>
      </x:c>
      <x:c r="U194" t="str">
        <x:f>IF(AND(E194="",F194=""),"Yes","No")</x:f>
        <x:v>No</x:v>
      </x:c>
      <x:c r="V194" t="str">
        <x:f>IF(AND('Dashboard'!$B$2-L194&gt;30,I194&lt;&gt;"Closed Won",I194&lt;&gt;"Closed Lost"),"Yes","No")</x:f>
        <x:v>No</x:v>
      </x:c>
      <x:c r="W194" t="str">
        <x:f>IF(AND(M194&lt;&gt;"",M194&lt;'Dashboard'!$B$2,I194&lt;&gt;"Closed Won",I194&lt;&gt;"Closed Lost"),"Yes","No")</x:f>
        <x:v>No</x:v>
      </x:c>
      <x:c r="X194" t="str">
        <x:f>IF(OR(S194="Duplicate",T194="Yes",U194="Yes",D194="Unknown",W194="Yes"),"Yes","No")</x:f>
        <x:v>Yes</x:v>
      </x:c>
      <x:c r="Y194" t="n">
        <x:f>IF(S194="Duplicate",0,1)</x:f>
        <x:v>0</x:v>
      </x:c>
    </x:row>
    <x:row r="195">
      <x:c r="A195" t="str">
        <x:v>L-0194</x:v>
      </x:c>
      <x:c r="B195" t="str">
        <x:v>James</x:v>
      </x:c>
      <x:c r="C195" t="str">
        <x:v>Lee</x:v>
      </x:c>
      <x:c r="D195" t="str">
        <x:v>Apex Manufacturing</x:v>
      </x:c>
      <x:c r="E195" t="str">
        <x:v>james.lee129@examplebiz.com</x:v>
      </x:c>
      <x:c r="F195" t="str">
        <x:v>(212) 273-1257</x:v>
      </x:c>
      <x:c r="G195" t="str">
        <x:v>NC</x:v>
      </x:c>
      <x:c r="H195" t="str">
        <x:v>Website</x:v>
      </x:c>
      <x:c r="I195" t="str">
        <x:v>Qualified</x:v>
      </x:c>
      <x:c r="J195" t="str">
        <x:v>Jamie Brooks</x:v>
      </x:c>
      <x:c r="K195" s="6" t="n">
        <x:v>46031</x:v>
      </x:c>
      <x:c r="L195" s="6" t="n">
        <x:v>46123</x:v>
      </x:c>
      <x:c r="M195" s="6" t="n">
        <x:v>46139</x:v>
      </x:c>
      <x:c r="N195" s="8" t="n">
        <x:v>15200</x:v>
      </x:c>
      <x:c r="O195" t="str">
        <x:v>Manufacturing</x:v>
      </x:c>
      <x:c r="P195" t="str">
        <x:v>Yes</x:v>
      </x:c>
      <x:c r="Q195" t="str">
        <x:v>No</x:v>
      </x:c>
      <x:c r="R195" s="6"/>
      <x:c r="S195" t="str">
        <x:f>IF(E195="","Unique",IF(COUNTIF($E$2:E195,E195)&gt;1,"Duplicate","Unique"))</x:f>
        <x:v>Unique</x:v>
      </x:c>
      <x:c r="T195" t="str">
        <x:f>IF(J195="Unassigned","Yes","No")</x:f>
        <x:v>No</x:v>
      </x:c>
      <x:c r="U195" t="str">
        <x:f>IF(AND(E195="",F195=""),"Yes","No")</x:f>
        <x:v>No</x:v>
      </x:c>
      <x:c r="V195" t="str">
        <x:f>IF(AND('Dashboard'!$B$2-L195&gt;30,I195&lt;&gt;"Closed Won",I195&lt;&gt;"Closed Lost"),"Yes","No")</x:f>
        <x:v>Yes</x:v>
      </x:c>
      <x:c r="W195" t="str">
        <x:f>IF(AND(M195&lt;&gt;"",M195&lt;'Dashboard'!$B$2,I195&lt;&gt;"Closed Won",I195&lt;&gt;"Closed Lost"),"Yes","No")</x:f>
        <x:v>Yes</x:v>
      </x:c>
      <x:c r="X195" t="str">
        <x:f>IF(OR(S195="Duplicate",T195="Yes",U195="Yes",D195="Unknown",W195="Yes"),"Yes","No")</x:f>
        <x:v>Yes</x:v>
      </x:c>
      <x:c r="Y195" t="n">
        <x:f>IF(S195="Duplicate",0,1)</x:f>
        <x:v>1</x:v>
      </x:c>
    </x:row>
    <x:row r="196">
      <x:c r="A196" t="str">
        <x:v>L-0195</x:v>
      </x:c>
      <x:c r="B196" t="str">
        <x:v>Elijah</x:v>
      </x:c>
      <x:c r="C196" t="str">
        <x:v>Moore</x:v>
      </x:c>
      <x:c r="D196" t="str">
        <x:v>Silverline Foods</x:v>
      </x:c>
      <x:c r="E196" t="str">
        <x:v>elijah.moore421@prospect.co</x:v>
      </x:c>
      <x:c r="F196" t="str">
        <x:v>235-238-8917</x:v>
      </x:c>
      <x:c r="G196" t="str">
        <x:v>FL</x:v>
      </x:c>
      <x:c r="H196" t="str">
        <x:v>Website</x:v>
      </x:c>
      <x:c r="I196" t="str">
        <x:v>Opportunity</x:v>
      </x:c>
      <x:c r="J196" t="str">
        <x:v>Casey Patel</x:v>
      </x:c>
      <x:c r="K196" s="6" t="n">
        <x:v>46099</x:v>
      </x:c>
      <x:c r="L196" s="6" t="n">
        <x:v>46226</x:v>
      </x:c>
      <x:c r="M196" s="6" t="n">
        <x:v>46236</x:v>
      </x:c>
      <x:c r="N196" s="8" t="n">
        <x:v>61300</x:v>
      </x:c>
      <x:c r="O196" t="str">
        <x:v>Biotech</x:v>
      </x:c>
      <x:c r="P196" t="str">
        <x:v>Yes</x:v>
      </x:c>
      <x:c r="Q196" t="str">
        <x:v>No</x:v>
      </x:c>
      <x:c r="R196" s="6"/>
      <x:c r="S196" t="str">
        <x:f>IF(E196="","Unique",IF(COUNTIF($E$2:E196,E196)&gt;1,"Duplicate","Unique"))</x:f>
        <x:v>Unique</x:v>
      </x:c>
      <x:c r="T196" t="str">
        <x:f>IF(J196="Unassigned","Yes","No")</x:f>
        <x:v>No</x:v>
      </x:c>
      <x:c r="U196" t="str">
        <x:f>IF(AND(E196="",F196=""),"Yes","No")</x:f>
        <x:v>No</x:v>
      </x:c>
      <x:c r="V196" t="str">
        <x:f>IF(AND('Dashboard'!$B$2-L196&gt;30,I196&lt;&gt;"Closed Won",I196&lt;&gt;"Closed Lost"),"Yes","No")</x:f>
        <x:v>No</x:v>
      </x:c>
      <x:c r="W196" t="str">
        <x:f>IF(AND(M196&lt;&gt;"",M196&lt;'Dashboard'!$B$2,I196&lt;&gt;"Closed Won",I196&lt;&gt;"Closed Lost"),"Yes","No")</x:f>
        <x:v>Yes</x:v>
      </x:c>
      <x:c r="X196" t="str">
        <x:f>IF(OR(S196="Duplicate",T196="Yes",U196="Yes",D196="Unknown",W196="Yes"),"Yes","No")</x:f>
        <x:v>Yes</x:v>
      </x:c>
      <x:c r="Y196" t="n">
        <x:f>IF(S196="Duplicate",0,1)</x:f>
        <x:v>1</x:v>
      </x:c>
    </x:row>
    <x:row r="197">
      <x:c r="A197" t="str">
        <x:v>L-0196</x:v>
      </x:c>
      <x:c r="B197" t="str">
        <x:v>Mia</x:v>
      </x:c>
      <x:c r="C197" t="str">
        <x:v>Lee</x:v>
      </x:c>
      <x:c r="D197" t="str">
        <x:v>Unknown</x:v>
      </x:c>
      <x:c r="E197" t="str">
        <x:v>mia.lee432@prospect.co</x:v>
      </x:c>
      <x:c r="F197" t="str">
        <x:v>(502) 496-3744</x:v>
      </x:c>
      <x:c r="G197" t="str">
        <x:v>IL</x:v>
      </x:c>
      <x:c r="H197" t="str">
        <x:v>Webinar</x:v>
      </x:c>
      <x:c r="I197" t="str">
        <x:v>New</x:v>
      </x:c>
      <x:c r="J197" t="str">
        <x:v>Casey Patel</x:v>
      </x:c>
      <x:c r="K197" s="6" t="n">
        <x:v>46130</x:v>
      </x:c>
      <x:c r="L197" s="6" t="n">
        <x:v>46195</x:v>
      </x:c>
      <x:c r="M197" s="6" t="n">
        <x:v>46213</x:v>
      </x:c>
      <x:c r="N197" s="8" t="n">
        <x:v>49900</x:v>
      </x:c>
      <x:c r="O197" t="str">
        <x:v>Healthcare</x:v>
      </x:c>
      <x:c r="P197" t="str">
        <x:v>No</x:v>
      </x:c>
      <x:c r="Q197" t="str">
        <x:v>No</x:v>
      </x:c>
      <x:c r="R197" s="6"/>
      <x:c r="S197" t="str">
        <x:f>IF(E197="","Unique",IF(COUNTIF($E$2:E197,E197)&gt;1,"Duplicate","Unique"))</x:f>
        <x:v>Unique</x:v>
      </x:c>
      <x:c r="T197" t="str">
        <x:f>IF(J197="Unassigned","Yes","No")</x:f>
        <x:v>No</x:v>
      </x:c>
      <x:c r="U197" t="str">
        <x:f>IF(AND(E197="",F197=""),"Yes","No")</x:f>
        <x:v>No</x:v>
      </x:c>
      <x:c r="V197" t="str">
        <x:f>IF(AND('Dashboard'!$B$2-L197&gt;30,I197&lt;&gt;"Closed Won",I197&lt;&gt;"Closed Lost"),"Yes","No")</x:f>
        <x:v>Yes</x:v>
      </x:c>
      <x:c r="W197" t="str">
        <x:f>IF(AND(M197&lt;&gt;"",M197&lt;'Dashboard'!$B$2,I197&lt;&gt;"Closed Won",I197&lt;&gt;"Closed Lost"),"Yes","No")</x:f>
        <x:v>Yes</x:v>
      </x:c>
      <x:c r="X197" t="str">
        <x:f>IF(OR(S197="Duplicate",T197="Yes",U197="Yes",D197="Unknown",W197="Yes"),"Yes","No")</x:f>
        <x:v>Yes</x:v>
      </x:c>
      <x:c r="Y197" t="n">
        <x:f>IF(S197="Duplicate",0,1)</x:f>
        <x:v>1</x:v>
      </x:c>
    </x:row>
    <x:row r="198">
      <x:c r="A198" t="str">
        <x:v>L-0197</x:v>
      </x:c>
      <x:c r="B198" t="str">
        <x:v>Benjamin</x:v>
      </x:c>
      <x:c r="C198" t="str">
        <x:v>Williams</x:v>
      </x:c>
      <x:c r="D198" t="str">
        <x:v>Blue Ridge Supply</x:v>
      </x:c>
      <x:c r="E198" t="str">
        <x:v>benjamin.williams179@examplebiz.com</x:v>
      </x:c>
      <x:c r="F198" t="str">
        <x:v>(875) 657-7058</x:v>
      </x:c>
      <x:c r="G198" t="str">
        <x:v>NY</x:v>
      </x:c>
      <x:c r="H198" t="str">
        <x:v>Referral</x:v>
      </x:c>
      <x:c r="I198" t="str">
        <x:v>Opportunity</x:v>
      </x:c>
      <x:c r="J198" t="str">
        <x:v>Alex Kim</x:v>
      </x:c>
      <x:c r="K198" s="6" t="n">
        <x:v>46176</x:v>
      </x:c>
      <x:c r="L198" s="6" t="n">
        <x:v>46208</x:v>
      </x:c>
      <x:c r="M198" s="6" t="n">
        <x:v>46211</x:v>
      </x:c>
      <x:c r="N198" s="8" t="n">
        <x:v>63700</x:v>
      </x:c>
      <x:c r="O198" t="str">
        <x:v>Technology</x:v>
      </x:c>
      <x:c r="P198" t="str">
        <x:v>Yes</x:v>
      </x:c>
      <x:c r="Q198" t="str">
        <x:v>No</x:v>
      </x:c>
      <x:c r="R198" s="6"/>
      <x:c r="S198" t="str">
        <x:f>IF(E198="","Unique",IF(COUNTIF($E$2:E198,E198)&gt;1,"Duplicate","Unique"))</x:f>
        <x:v>Unique</x:v>
      </x:c>
      <x:c r="T198" t="str">
        <x:f>IF(J198="Unassigned","Yes","No")</x:f>
        <x:v>No</x:v>
      </x:c>
      <x:c r="U198" t="str">
        <x:f>IF(AND(E198="",F198=""),"Yes","No")</x:f>
        <x:v>No</x:v>
      </x:c>
      <x:c r="V198" t="str">
        <x:f>IF(AND('Dashboard'!$B$2-L198&gt;30,I198&lt;&gt;"Closed Won",I198&lt;&gt;"Closed Lost"),"Yes","No")</x:f>
        <x:v>Yes</x:v>
      </x:c>
      <x:c r="W198" t="str">
        <x:f>IF(AND(M198&lt;&gt;"",M198&lt;'Dashboard'!$B$2,I198&lt;&gt;"Closed Won",I198&lt;&gt;"Closed Lost"),"Yes","No")</x:f>
        <x:v>Yes</x:v>
      </x:c>
      <x:c r="X198" t="str">
        <x:f>IF(OR(S198="Duplicate",T198="Yes",U198="Yes",D198="Unknown",W198="Yes"),"Yes","No")</x:f>
        <x:v>Yes</x:v>
      </x:c>
      <x:c r="Y198" t="n">
        <x:f>IF(S198="Duplicate",0,1)</x:f>
        <x:v>1</x:v>
      </x:c>
    </x:row>
    <x:row r="199">
      <x:c r="A199" t="str">
        <x:v>L-0198</x:v>
      </x:c>
      <x:c r="B199" t="str">
        <x:v>Mason</x:v>
      </x:c>
      <x:c r="C199" t="str">
        <x:v>Moore</x:v>
      </x:c>
      <x:c r="D199" t="str">
        <x:v>Cedarworks</x:v>
      </x:c>
      <x:c r="E199" t="str">
        <x:v>mason.moore409@mailhub.net</x:v>
      </x:c>
      <x:c r="F199" t="str">
        <x:v>(509) 687-9724</x:v>
      </x:c>
      <x:c r="G199" t="str">
        <x:v>WA</x:v>
      </x:c>
      <x:c r="H199" t="str">
        <x:v>LinkedIn</x:v>
      </x:c>
      <x:c r="I199" t="str">
        <x:v>Contacted</x:v>
      </x:c>
      <x:c r="J199" t="str">
        <x:v>Morgan Reed</x:v>
      </x:c>
      <x:c r="K199" s="6" t="n">
        <x:v>46082</x:v>
      </x:c>
      <x:c r="L199" s="6" t="n">
        <x:v>46149</x:v>
      </x:c>
      <x:c r="M199" s="6" t="n">
        <x:v>46155</x:v>
      </x:c>
      <x:c r="N199" s="8" t="n">
        <x:v>6800</x:v>
      </x:c>
      <x:c r="O199" t="str">
        <x:v>Retail</x:v>
      </x:c>
      <x:c r="P199" t="str">
        <x:v>No</x:v>
      </x:c>
      <x:c r="Q199" t="str">
        <x:v>No</x:v>
      </x:c>
      <x:c r="R199" s="6"/>
      <x:c r="S199" t="str">
        <x:f>IF(E199="","Unique",IF(COUNTIF($E$2:E199,E199)&gt;1,"Duplicate","Unique"))</x:f>
        <x:v>Unique</x:v>
      </x:c>
      <x:c r="T199" t="str">
        <x:f>IF(J199="Unassigned","Yes","No")</x:f>
        <x:v>No</x:v>
      </x:c>
      <x:c r="U199" t="str">
        <x:f>IF(AND(E199="",F199=""),"Yes","No")</x:f>
        <x:v>No</x:v>
      </x:c>
      <x:c r="V199" t="str">
        <x:f>IF(AND('Dashboard'!$B$2-L199&gt;30,I199&lt;&gt;"Closed Won",I199&lt;&gt;"Closed Lost"),"Yes","No")</x:f>
        <x:v>Yes</x:v>
      </x:c>
      <x:c r="W199" t="str">
        <x:f>IF(AND(M199&lt;&gt;"",M199&lt;'Dashboard'!$B$2,I199&lt;&gt;"Closed Won",I199&lt;&gt;"Closed Lost"),"Yes","No")</x:f>
        <x:v>Yes</x:v>
      </x:c>
      <x:c r="X199" t="str">
        <x:f>IF(OR(S199="Duplicate",T199="Yes",U199="Yes",D199="Unknown",W199="Yes"),"Yes","No")</x:f>
        <x:v>Yes</x:v>
      </x:c>
      <x:c r="Y199" t="n">
        <x:f>IF(S199="Duplicate",0,1)</x:f>
        <x:v>1</x:v>
      </x:c>
    </x:row>
    <x:row r="200">
      <x:c r="A200" t="str">
        <x:v>L-0199</x:v>
      </x:c>
      <x:c r="B200" t="str">
        <x:v>Logan</x:v>
      </x:c>
      <x:c r="C200" t="str">
        <x:v>Taylor</x:v>
      </x:c>
      <x:c r="D200" t="str">
        <x:v>Horizon Bio</x:v>
      </x:c>
      <x:c r="E200" t="str">
        <x:v>mia.jones426@northmail.com</x:v>
      </x:c>
      <x:c r="F200" t="str"/>
      <x:c r="G200" t="str">
        <x:v>NY</x:v>
      </x:c>
      <x:c r="H200" t="str">
        <x:v>Referral</x:v>
      </x:c>
      <x:c r="I200" t="str">
        <x:v>New</x:v>
      </x:c>
      <x:c r="J200" t="str">
        <x:v>Jamie Brooks</x:v>
      </x:c>
      <x:c r="K200" s="6" t="n">
        <x:v>46079</x:v>
      </x:c>
      <x:c r="L200" s="6" t="n">
        <x:v>46228</x:v>
      </x:c>
      <x:c r="M200" s="6" t="n">
        <x:v>46243</x:v>
      </x:c>
      <x:c r="N200" s="8" t="n">
        <x:v>40500</x:v>
      </x:c>
      <x:c r="O200" t="str">
        <x:v>Biotech</x:v>
      </x:c>
      <x:c r="P200" t="str">
        <x:v>No</x:v>
      </x:c>
      <x:c r="Q200" t="str">
        <x:v>No</x:v>
      </x:c>
      <x:c r="R200" s="6"/>
      <x:c r="S200" t="str">
        <x:f>IF(E200="","Unique",IF(COUNTIF($E$2:E200,E200)&gt;1,"Duplicate","Unique"))</x:f>
        <x:v>Duplicate</x:v>
      </x:c>
      <x:c r="T200" t="str">
        <x:f>IF(J200="Unassigned","Yes","No")</x:f>
        <x:v>No</x:v>
      </x:c>
      <x:c r="U200" t="str">
        <x:f>IF(AND(E200="",F200=""),"Yes","No")</x:f>
        <x:v>No</x:v>
      </x:c>
      <x:c r="V200" t="str">
        <x:f>IF(AND('Dashboard'!$B$2-L200&gt;30,I200&lt;&gt;"Closed Won",I200&lt;&gt;"Closed Lost"),"Yes","No")</x:f>
        <x:v>No</x:v>
      </x:c>
      <x:c r="W200" t="str">
        <x:f>IF(AND(M200&lt;&gt;"",M200&lt;'Dashboard'!$B$2,I200&lt;&gt;"Closed Won",I200&lt;&gt;"Closed Lost"),"Yes","No")</x:f>
        <x:v>Yes</x:v>
      </x:c>
      <x:c r="X200" t="str">
        <x:f>IF(OR(S200="Duplicate",T200="Yes",U200="Yes",D200="Unknown",W200="Yes"),"Yes","No")</x:f>
        <x:v>Yes</x:v>
      </x:c>
      <x:c r="Y200" t="n">
        <x:f>IF(S200="Duplicate",0,1)</x:f>
        <x:v>0</x:v>
      </x:c>
    </x:row>
    <x:row r="201">
      <x:c r="A201" t="str">
        <x:v>L-0200</x:v>
      </x:c>
      <x:c r="B201" t="str">
        <x:v>Ava</x:v>
      </x:c>
      <x:c r="C201" t="str">
        <x:v>Thompson</x:v>
      </x:c>
      <x:c r="D201" t="str">
        <x:v>Brightpath Health</x:v>
      </x:c>
      <x:c r="E201" t="str">
        <x:v>ava.thompson89@examplebiz.com</x:v>
      </x:c>
      <x:c r="F201" t="str">
        <x:v>(585) 872-4027</x:v>
      </x:c>
      <x:c r="G201" t="str">
        <x:v>WA</x:v>
      </x:c>
      <x:c r="H201" t="str">
        <x:v>LinkedIn</x:v>
      </x:c>
      <x:c r="I201" t="str">
        <x:v>Closed Won</x:v>
      </x:c>
      <x:c r="J201" t="str">
        <x:v>Jordan Lee</x:v>
      </x:c>
      <x:c r="K201" s="6" t="n">
        <x:v>46093</x:v>
      </x:c>
      <x:c r="L201" s="6" t="n">
        <x:v>46124</x:v>
      </x:c>
      <x:c r="M201" s="6"/>
      <x:c r="N201" s="8" t="n">
        <x:v>60900</x:v>
      </x:c>
      <x:c r="O201" t="str">
        <x:v>Healthcare</x:v>
      </x:c>
      <x:c r="P201" t="str">
        <x:v>Yes</x:v>
      </x:c>
      <x:c r="Q201" t="str">
        <x:v>Yes</x:v>
      </x:c>
      <x:c r="R201" s="6" t="n">
        <x:v>46128</x:v>
      </x:c>
      <x:c r="S201" t="str">
        <x:f>IF(E201="","Unique",IF(COUNTIF($E$2:E201,E201)&gt;1,"Duplicate","Unique"))</x:f>
        <x:v>Unique</x:v>
      </x:c>
      <x:c r="T201" t="str">
        <x:f>IF(J201="Unassigned","Yes","No")</x:f>
        <x:v>No</x:v>
      </x:c>
      <x:c r="U201" t="str">
        <x:f>IF(AND(E201="",F201=""),"Yes","No")</x:f>
        <x:v>No</x:v>
      </x:c>
      <x:c r="V201" t="str">
        <x:f>IF(AND('Dashboard'!$B$2-L201&gt;30,I201&lt;&gt;"Closed Won",I201&lt;&gt;"Closed Lost"),"Yes","No")</x:f>
        <x:v>No</x:v>
      </x:c>
      <x:c r="W201" t="str">
        <x:f>IF(AND(M201&lt;&gt;"",M201&lt;'Dashboard'!$B$2,I201&lt;&gt;"Closed Won",I201&lt;&gt;"Closed Lost"),"Yes","No")</x:f>
        <x:v>No</x:v>
      </x:c>
      <x:c r="X201" t="str">
        <x:f>IF(OR(S201="Duplicate",T201="Yes",U201="Yes",D201="Unknown",W201="Yes"),"Yes","No")</x:f>
        <x:v>No</x:v>
      </x:c>
      <x:c r="Y201" t="n">
        <x:f>IF(S201="Duplicate",0,1)</x:f>
        <x:v>1</x:v>
      </x:c>
    </x:row>
    <x:row r="202">
      <x:c r="A202" t="str">
        <x:v>L-0201</x:v>
      </x:c>
      <x:c r="B202" t="str">
        <x:v>Amelia</x:v>
      </x:c>
      <x:c r="C202" t="str">
        <x:v>Thomas</x:v>
      </x:c>
      <x:c r="D202" t="str">
        <x:v>Redstone Consulting</x:v>
      </x:c>
      <x:c r="E202" t="str">
        <x:v>amelia.thomas625@mailhub.net</x:v>
      </x:c>
      <x:c r="F202" t="str">
        <x:v>(383) 860-9061</x:v>
      </x:c>
      <x:c r="G202" t="str">
        <x:v>NY</x:v>
      </x:c>
      <x:c r="H202" t="str">
        <x:v>Outbound</x:v>
      </x:c>
      <x:c r="I202" t="str">
        <x:v>Contacted</x:v>
      </x:c>
      <x:c r="J202" t="str">
        <x:v>Taylor Morgan</x:v>
      </x:c>
      <x:c r="K202" s="6" t="n">
        <x:v>46134</x:v>
      </x:c>
      <x:c r="L202" s="6" t="n">
        <x:v>46142</x:v>
      </x:c>
      <x:c r="M202" s="6" t="n">
        <x:v>46160</x:v>
      </x:c>
      <x:c r="N202" s="8" t="n">
        <x:v>83300</x:v>
      </x:c>
      <x:c r="O202" t="str">
        <x:v>Healthcare</x:v>
      </x:c>
      <x:c r="P202" t="str">
        <x:v>No</x:v>
      </x:c>
      <x:c r="Q202" t="str">
        <x:v>No</x:v>
      </x:c>
      <x:c r="R202" s="6"/>
      <x:c r="S202" t="str">
        <x:f>IF(E202="","Unique",IF(COUNTIF($E$2:E202,E202)&gt;1,"Duplicate","Unique"))</x:f>
        <x:v>Unique</x:v>
      </x:c>
      <x:c r="T202" t="str">
        <x:f>IF(J202="Unassigned","Yes","No")</x:f>
        <x:v>No</x:v>
      </x:c>
      <x:c r="U202" t="str">
        <x:f>IF(AND(E202="",F202=""),"Yes","No")</x:f>
        <x:v>No</x:v>
      </x:c>
      <x:c r="V202" t="str">
        <x:f>IF(AND('Dashboard'!$B$2-L202&gt;30,I202&lt;&gt;"Closed Won",I202&lt;&gt;"Closed Lost"),"Yes","No")</x:f>
        <x:v>Yes</x:v>
      </x:c>
      <x:c r="W202" t="str">
        <x:f>IF(AND(M202&lt;&gt;"",M202&lt;'Dashboard'!$B$2,I202&lt;&gt;"Closed Won",I202&lt;&gt;"Closed Lost"),"Yes","No")</x:f>
        <x:v>Yes</x:v>
      </x:c>
      <x:c r="X202" t="str">
        <x:f>IF(OR(S202="Duplicate",T202="Yes",U202="Yes",D202="Unknown",W202="Yes"),"Yes","No")</x:f>
        <x:v>Yes</x:v>
      </x:c>
      <x:c r="Y202" t="n">
        <x:f>IF(S202="Duplicate",0,1)</x:f>
        <x:v>1</x:v>
      </x:c>
    </x:row>
    <x:row r="203">
      <x:c r="A203" t="str">
        <x:v>L-0202</x:v>
      </x:c>
      <x:c r="B203" t="str">
        <x:v>Ava</x:v>
      </x:c>
      <x:c r="C203" t="str">
        <x:v>Johnson</x:v>
      </x:c>
      <x:c r="D203" t="str">
        <x:v>Silverline Foods</x:v>
      </x:c>
      <x:c r="E203" t="str">
        <x:v>ava.johnson490@mailhub.net</x:v>
      </x:c>
      <x:c r="F203" t="str">
        <x:v>(614) 945-2148</x:v>
      </x:c>
      <x:c r="G203" t="str">
        <x:v>CA</x:v>
      </x:c>
      <x:c r="H203" t="str">
        <x:v>LinkedIn</x:v>
      </x:c>
      <x:c r="I203" t="str">
        <x:v>Closed Lost</x:v>
      </x:c>
      <x:c r="J203" t="str">
        <x:v>Unassigned</x:v>
      </x:c>
      <x:c r="K203" s="6" t="n">
        <x:v>46099</x:v>
      </x:c>
      <x:c r="L203" s="6" t="n">
        <x:v>46099</x:v>
      </x:c>
      <x:c r="M203" s="6"/>
      <x:c r="N203" s="8" t="n">
        <x:v>45000</x:v>
      </x:c>
      <x:c r="O203" t="str">
        <x:v>Financial Services</x:v>
      </x:c>
      <x:c r="P203" t="str">
        <x:v>Yes</x:v>
      </x:c>
      <x:c r="Q203" t="str">
        <x:v>No</x:v>
      </x:c>
      <x:c r="R203" s="6" t="n">
        <x:v>46104</x:v>
      </x:c>
      <x:c r="S203" t="str">
        <x:f>IF(E203="","Unique",IF(COUNTIF($E$2:E203,E203)&gt;1,"Duplicate","Unique"))</x:f>
        <x:v>Unique</x:v>
      </x:c>
      <x:c r="T203" t="str">
        <x:f>IF(J203="Unassigned","Yes","No")</x:f>
        <x:v>Yes</x:v>
      </x:c>
      <x:c r="U203" t="str">
        <x:f>IF(AND(E203="",F203=""),"Yes","No")</x:f>
        <x:v>No</x:v>
      </x:c>
      <x:c r="V203" t="str">
        <x:f>IF(AND('Dashboard'!$B$2-L203&gt;30,I203&lt;&gt;"Closed Won",I203&lt;&gt;"Closed Lost"),"Yes","No")</x:f>
        <x:v>No</x:v>
      </x:c>
      <x:c r="W203" t="str">
        <x:f>IF(AND(M203&lt;&gt;"",M203&lt;'Dashboard'!$B$2,I203&lt;&gt;"Closed Won",I203&lt;&gt;"Closed Lost"),"Yes","No")</x:f>
        <x:v>No</x:v>
      </x:c>
      <x:c r="X203" t="str">
        <x:f>IF(OR(S203="Duplicate",T203="Yes",U203="Yes",D203="Unknown",W203="Yes"),"Yes","No")</x:f>
        <x:v>Yes</x:v>
      </x:c>
      <x:c r="Y203" t="n">
        <x:f>IF(S203="Duplicate",0,1)</x:f>
        <x:v>1</x:v>
      </x:c>
    </x:row>
    <x:row r="204">
      <x:c r="A204" t="str">
        <x:v>L-0203</x:v>
      </x:c>
      <x:c r="B204" t="str">
        <x:v>Mia</x:v>
      </x:c>
      <x:c r="C204" t="str">
        <x:v>Moore</x:v>
      </x:c>
      <x:c r="D204" t="str">
        <x:v>Evergreen Services</x:v>
      </x:c>
      <x:c r="E204" t="str">
        <x:v>emma.johnson998@examplebiz.com</x:v>
      </x:c>
      <x:c r="F204" t="str">
        <x:v>(846) 905-6886</x:v>
      </x:c>
      <x:c r="G204" t="str">
        <x:v>CA</x:v>
      </x:c>
      <x:c r="H204" t="str">
        <x:v>Trade Show</x:v>
      </x:c>
      <x:c r="I204" t="str">
        <x:v>Closed Lost</x:v>
      </x:c>
      <x:c r="J204" t="str">
        <x:v>Morgan Reed</x:v>
      </x:c>
      <x:c r="K204" s="6" t="n">
        <x:v>46077</x:v>
      </x:c>
      <x:c r="L204" s="6" t="n">
        <x:v>46125</x:v>
      </x:c>
      <x:c r="M204" s="6"/>
      <x:c r="N204" s="8" t="n">
        <x:v>27200</x:v>
      </x:c>
      <x:c r="O204" t="str">
        <x:v>Retail</x:v>
      </x:c>
      <x:c r="P204" t="str">
        <x:v>Yes</x:v>
      </x:c>
      <x:c r="Q204" t="str">
        <x:v>No</x:v>
      </x:c>
      <x:c r="R204" s="6" t="n">
        <x:v>46128</x:v>
      </x:c>
      <x:c r="S204" t="str">
        <x:f>IF(E204="","Unique",IF(COUNTIF($E$2:E204,E204)&gt;1,"Duplicate","Unique"))</x:f>
        <x:v>Duplicate</x:v>
      </x:c>
      <x:c r="T204" t="str">
        <x:f>IF(J204="Unassigned","Yes","No")</x:f>
        <x:v>No</x:v>
      </x:c>
      <x:c r="U204" t="str">
        <x:f>IF(AND(E204="",F204=""),"Yes","No")</x:f>
        <x:v>No</x:v>
      </x:c>
      <x:c r="V204" t="str">
        <x:f>IF(AND('Dashboard'!$B$2-L204&gt;30,I204&lt;&gt;"Closed Won",I204&lt;&gt;"Closed Lost"),"Yes","No")</x:f>
        <x:v>No</x:v>
      </x:c>
      <x:c r="W204" t="str">
        <x:f>IF(AND(M204&lt;&gt;"",M204&lt;'Dashboard'!$B$2,I204&lt;&gt;"Closed Won",I204&lt;&gt;"Closed Lost"),"Yes","No")</x:f>
        <x:v>No</x:v>
      </x:c>
      <x:c r="X204" t="str">
        <x:f>IF(OR(S204="Duplicate",T204="Yes",U204="Yes",D204="Unknown",W204="Yes"),"Yes","No")</x:f>
        <x:v>Yes</x:v>
      </x:c>
      <x:c r="Y204" t="n">
        <x:f>IF(S204="Duplicate",0,1)</x:f>
        <x:v>0</x:v>
      </x:c>
    </x:row>
    <x:row r="205">
      <x:c r="A205" t="str">
        <x:v>L-0204</x:v>
      </x:c>
      <x:c r="B205" t="str">
        <x:v>Liam</x:v>
      </x:c>
      <x:c r="C205" t="str">
        <x:v>Wilson</x:v>
      </x:c>
      <x:c r="D205" t="str">
        <x:v>Peakline Systems</x:v>
      </x:c>
      <x:c r="E205" t="str">
        <x:v>liam.wilson153@examplebiz.com</x:v>
      </x:c>
      <x:c r="F205" t="str">
        <x:v>(274) 237-3319</x:v>
      </x:c>
      <x:c r="G205" t="str">
        <x:v>TX</x:v>
      </x:c>
      <x:c r="H205" t="str">
        <x:v>Website</x:v>
      </x:c>
      <x:c r="I205" t="str">
        <x:v>Opportunity</x:v>
      </x:c>
      <x:c r="J205" t="str">
        <x:v>Unassigned</x:v>
      </x:c>
      <x:c r="K205" s="6" t="n">
        <x:v>46113</x:v>
      </x:c>
      <x:c r="L205" s="6" t="n">
        <x:v>46230</x:v>
      </x:c>
      <x:c r="M205" s="6" t="n">
        <x:v>46254</x:v>
      </x:c>
      <x:c r="N205" s="8" t="n">
        <x:v>74300</x:v>
      </x:c>
      <x:c r="O205" t="str">
        <x:v>Professional Services</x:v>
      </x:c>
      <x:c r="P205" t="str">
        <x:v>Yes</x:v>
      </x:c>
      <x:c r="Q205" t="str">
        <x:v>No</x:v>
      </x:c>
      <x:c r="R205" s="6"/>
      <x:c r="S205" t="str">
        <x:f>IF(E205="","Unique",IF(COUNTIF($E$2:E205,E205)&gt;1,"Duplicate","Unique"))</x:f>
        <x:v>Unique</x:v>
      </x:c>
      <x:c r="T205" t="str">
        <x:f>IF(J205="Unassigned","Yes","No")</x:f>
        <x:v>Yes</x:v>
      </x:c>
      <x:c r="U205" t="str">
        <x:f>IF(AND(E205="",F205=""),"Yes","No")</x:f>
        <x:v>No</x:v>
      </x:c>
      <x:c r="V205" t="str">
        <x:f>IF(AND('Dashboard'!$B$2-L205&gt;30,I205&lt;&gt;"Closed Won",I205&lt;&gt;"Closed Lost"),"Yes","No")</x:f>
        <x:v>No</x:v>
      </x:c>
      <x:c r="W205" t="str">
        <x:f>IF(AND(M205&lt;&gt;"",M205&lt;'Dashboard'!$B$2,I205&lt;&gt;"Closed Won",I205&lt;&gt;"Closed Lost"),"Yes","No")</x:f>
        <x:v>No</x:v>
      </x:c>
      <x:c r="X205" t="str">
        <x:f>IF(OR(S205="Duplicate",T205="Yes",U205="Yes",D205="Unknown",W205="Yes"),"Yes","No")</x:f>
        <x:v>Yes</x:v>
      </x:c>
      <x:c r="Y205" t="n">
        <x:f>IF(S205="Duplicate",0,1)</x:f>
        <x:v>1</x:v>
      </x:c>
    </x:row>
    <x:row r="206">
      <x:c r="A206" t="str">
        <x:v>L-0205</x:v>
      </x:c>
      <x:c r="B206" t="str">
        <x:v>Mia</x:v>
      </x:c>
      <x:c r="C206" t="str">
        <x:v>Brown</x:v>
      </x:c>
      <x:c r="D206" t="str">
        <x:v>Summit Analytics</x:v>
      </x:c>
      <x:c r="E206" t="str">
        <x:v>mia.brown695@mailhub.net</x:v>
      </x:c>
      <x:c r="F206" t="str">
        <x:v>(533) 323-9943</x:v>
      </x:c>
      <x:c r="G206" t="str">
        <x:v>WA</x:v>
      </x:c>
      <x:c r="H206" t="str">
        <x:v>Email Campaign</x:v>
      </x:c>
      <x:c r="I206" t="str">
        <x:v>Contacted</x:v>
      </x:c>
      <x:c r="J206" t="str">
        <x:v>Jamie Brooks</x:v>
      </x:c>
      <x:c r="K206" s="6" t="n">
        <x:v>46041</x:v>
      </x:c>
      <x:c r="L206" s="6" t="n">
        <x:v>46092</x:v>
      </x:c>
      <x:c r="M206" s="6" t="n">
        <x:v>46108</x:v>
      </x:c>
      <x:c r="N206" s="8" t="n">
        <x:v>30300</x:v>
      </x:c>
      <x:c r="O206" t="str">
        <x:v>Logistics</x:v>
      </x:c>
      <x:c r="P206" t="str">
        <x:v>No</x:v>
      </x:c>
      <x:c r="Q206" t="str">
        <x:v>No</x:v>
      </x:c>
      <x:c r="R206" s="6"/>
      <x:c r="S206" t="str">
        <x:f>IF(E206="","Unique",IF(COUNTIF($E$2:E206,E206)&gt;1,"Duplicate","Unique"))</x:f>
        <x:v>Unique</x:v>
      </x:c>
      <x:c r="T206" t="str">
        <x:f>IF(J206="Unassigned","Yes","No")</x:f>
        <x:v>No</x:v>
      </x:c>
      <x:c r="U206" t="str">
        <x:f>IF(AND(E206="",F206=""),"Yes","No")</x:f>
        <x:v>No</x:v>
      </x:c>
      <x:c r="V206" t="str">
        <x:f>IF(AND('Dashboard'!$B$2-L206&gt;30,I206&lt;&gt;"Closed Won",I206&lt;&gt;"Closed Lost"),"Yes","No")</x:f>
        <x:v>Yes</x:v>
      </x:c>
      <x:c r="W206" t="str">
        <x:f>IF(AND(M206&lt;&gt;"",M206&lt;'Dashboard'!$B$2,I206&lt;&gt;"Closed Won",I206&lt;&gt;"Closed Lost"),"Yes","No")</x:f>
        <x:v>Yes</x:v>
      </x:c>
      <x:c r="X206" t="str">
        <x:f>IF(OR(S206="Duplicate",T206="Yes",U206="Yes",D206="Unknown",W206="Yes"),"Yes","No")</x:f>
        <x:v>Yes</x:v>
      </x:c>
      <x:c r="Y206" t="n">
        <x:f>IF(S206="Duplicate",0,1)</x:f>
        <x:v>1</x:v>
      </x:c>
    </x:row>
    <x:row r="207">
      <x:c r="A207" t="str">
        <x:v>L-0206</x:v>
      </x:c>
      <x:c r="B207" t="str">
        <x:v>Liam</x:v>
      </x:c>
      <x:c r="C207" t="str">
        <x:v>Jones</x:v>
      </x:c>
      <x:c r="D207" t="str">
        <x:v>Summit Analytics</x:v>
      </x:c>
      <x:c r="E207" t="str">
        <x:v>liam.jones668@prospect.co</x:v>
      </x:c>
      <x:c r="F207" t="str">
        <x:v>(627) 910-8798</x:v>
      </x:c>
      <x:c r="G207" t="str">
        <x:v>CA</x:v>
      </x:c>
      <x:c r="H207" t="str">
        <x:v>Website</x:v>
      </x:c>
      <x:c r="I207" t="str">
        <x:v>Qualified</x:v>
      </x:c>
      <x:c r="J207" t="str">
        <x:v>Jamie Brooks</x:v>
      </x:c>
      <x:c r="K207" s="6" t="n">
        <x:v>46245</x:v>
      </x:c>
      <x:c r="L207" s="6" t="n">
        <x:v>46245</x:v>
      </x:c>
      <x:c r="M207" s="6" t="n">
        <x:v>46253</x:v>
      </x:c>
      <x:c r="N207" s="8" t="n">
        <x:v>78900</x:v>
      </x:c>
      <x:c r="O207" t="str">
        <x:v>Professional Services</x:v>
      </x:c>
      <x:c r="P207" t="str">
        <x:v>Yes</x:v>
      </x:c>
      <x:c r="Q207" t="str">
        <x:v>No</x:v>
      </x:c>
      <x:c r="R207" s="6"/>
      <x:c r="S207" t="str">
        <x:f>IF(E207="","Unique",IF(COUNTIF($E$2:E207,E207)&gt;1,"Duplicate","Unique"))</x:f>
        <x:v>Unique</x:v>
      </x:c>
      <x:c r="T207" t="str">
        <x:f>IF(J207="Unassigned","Yes","No")</x:f>
        <x:v>No</x:v>
      </x:c>
      <x:c r="U207" t="str">
        <x:f>IF(AND(E207="",F207=""),"Yes","No")</x:f>
        <x:v>No</x:v>
      </x:c>
      <x:c r="V207" t="str">
        <x:f>IF(AND('Dashboard'!$B$2-L207&gt;30,I207&lt;&gt;"Closed Won",I207&lt;&gt;"Closed Lost"),"Yes","No")</x:f>
        <x:v>No</x:v>
      </x:c>
      <x:c r="W207" t="str">
        <x:f>IF(AND(M207&lt;&gt;"",M207&lt;'Dashboard'!$B$2,I207&lt;&gt;"Closed Won",I207&lt;&gt;"Closed Lost"),"Yes","No")</x:f>
        <x:v>No</x:v>
      </x:c>
      <x:c r="X207" t="str">
        <x:f>IF(OR(S207="Duplicate",T207="Yes",U207="Yes",D207="Unknown",W207="Yes"),"Yes","No")</x:f>
        <x:v>No</x:v>
      </x:c>
      <x:c r="Y207" t="n">
        <x:f>IF(S207="Duplicate",0,1)</x:f>
        <x:v>1</x:v>
      </x:c>
    </x:row>
    <x:row r="208">
      <x:c r="A208" t="str">
        <x:v>L-0207</x:v>
      </x:c>
      <x:c r="B208" t="str">
        <x:v>Elijah</x:v>
      </x:c>
      <x:c r="C208" t="str">
        <x:v>Davis</x:v>
      </x:c>
      <x:c r="D208" t="str">
        <x:v>Apex Manufacturing</x:v>
      </x:c>
      <x:c r="E208" t="str">
        <x:v>elijah.davis676@examplebiz.com</x:v>
      </x:c>
      <x:c r="F208" t="str">
        <x:v>(484) 254-4173</x:v>
      </x:c>
      <x:c r="G208" t="str">
        <x:v>GA</x:v>
      </x:c>
      <x:c r="H208" t="str">
        <x:v>Outbound</x:v>
      </x:c>
      <x:c r="I208" t="str">
        <x:v>Opportunity</x:v>
      </x:c>
      <x:c r="J208" t="str">
        <x:v>Jamie Brooks</x:v>
      </x:c>
      <x:c r="K208" s="6" t="n">
        <x:v>46052</x:v>
      </x:c>
      <x:c r="L208" s="6" t="n">
        <x:v>46190</x:v>
      </x:c>
      <x:c r="M208" s="6" t="n">
        <x:v>46209</x:v>
      </x:c>
      <x:c r="N208" s="8" t="n">
        <x:v>20600</x:v>
      </x:c>
      <x:c r="O208" t="str">
        <x:v>Technology</x:v>
      </x:c>
      <x:c r="P208" t="str">
        <x:v>Yes</x:v>
      </x:c>
      <x:c r="Q208" t="str">
        <x:v>No</x:v>
      </x:c>
      <x:c r="R208" s="6"/>
      <x:c r="S208" t="str">
        <x:f>IF(E208="","Unique",IF(COUNTIF($E$2:E208,E208)&gt;1,"Duplicate","Unique"))</x:f>
        <x:v>Unique</x:v>
      </x:c>
      <x:c r="T208" t="str">
        <x:f>IF(J208="Unassigned","Yes","No")</x:f>
        <x:v>No</x:v>
      </x:c>
      <x:c r="U208" t="str">
        <x:f>IF(AND(E208="",F208=""),"Yes","No")</x:f>
        <x:v>No</x:v>
      </x:c>
      <x:c r="V208" t="str">
        <x:f>IF(AND('Dashboard'!$B$2-L208&gt;30,I208&lt;&gt;"Closed Won",I208&lt;&gt;"Closed Lost"),"Yes","No")</x:f>
        <x:v>Yes</x:v>
      </x:c>
      <x:c r="W208" t="str">
        <x:f>IF(AND(M208&lt;&gt;"",M208&lt;'Dashboard'!$B$2,I208&lt;&gt;"Closed Won",I208&lt;&gt;"Closed Lost"),"Yes","No")</x:f>
        <x:v>Yes</x:v>
      </x:c>
      <x:c r="X208" t="str">
        <x:f>IF(OR(S208="Duplicate",T208="Yes",U208="Yes",D208="Unknown",W208="Yes"),"Yes","No")</x:f>
        <x:v>Yes</x:v>
      </x:c>
      <x:c r="Y208" t="n">
        <x:f>IF(S208="Duplicate",0,1)</x:f>
        <x:v>1</x:v>
      </x:c>
    </x:row>
    <x:row r="209">
      <x:c r="A209" t="str">
        <x:v>L-0208</x:v>
      </x:c>
      <x:c r="B209" t="str">
        <x:v>Liam</x:v>
      </x:c>
      <x:c r="C209" t="str">
        <x:v>Lee</x:v>
      </x:c>
      <x:c r="D209" t="str">
        <x:v>Cedarworks</x:v>
      </x:c>
      <x:c r="E209" t="str">
        <x:v>liam.lee204@prospect.co</x:v>
      </x:c>
      <x:c r="F209" t="str">
        <x:v>(436) 997-2804</x:v>
      </x:c>
      <x:c r="G209" t="str">
        <x:v>CO</x:v>
      </x:c>
      <x:c r="H209" t="str">
        <x:v>Webinar</x:v>
      </x:c>
      <x:c r="I209" t="str">
        <x:v>New</x:v>
      </x:c>
      <x:c r="J209" t="str">
        <x:v>Morgan Reed</x:v>
      </x:c>
      <x:c r="K209" s="6" t="n">
        <x:v>46186</x:v>
      </x:c>
      <x:c r="L209" s="6" t="n">
        <x:v>46242</x:v>
      </x:c>
      <x:c r="M209" s="6" t="n">
        <x:v>46263</x:v>
      </x:c>
      <x:c r="N209" s="8" t="n">
        <x:v>50300</x:v>
      </x:c>
      <x:c r="O209" t="str">
        <x:v>Manufacturing</x:v>
      </x:c>
      <x:c r="P209" t="str">
        <x:v>No</x:v>
      </x:c>
      <x:c r="Q209" t="str">
        <x:v>No</x:v>
      </x:c>
      <x:c r="R209" s="6"/>
      <x:c r="S209" t="str">
        <x:f>IF(E209="","Unique",IF(COUNTIF($E$2:E209,E209)&gt;1,"Duplicate","Unique"))</x:f>
        <x:v>Unique</x:v>
      </x:c>
      <x:c r="T209" t="str">
        <x:f>IF(J209="Unassigned","Yes","No")</x:f>
        <x:v>No</x:v>
      </x:c>
      <x:c r="U209" t="str">
        <x:f>IF(AND(E209="",F209=""),"Yes","No")</x:f>
        <x:v>No</x:v>
      </x:c>
      <x:c r="V209" t="str">
        <x:f>IF(AND('Dashboard'!$B$2-L209&gt;30,I209&lt;&gt;"Closed Won",I209&lt;&gt;"Closed Lost"),"Yes","No")</x:f>
        <x:v>No</x:v>
      </x:c>
      <x:c r="W209" t="str">
        <x:f>IF(AND(M209&lt;&gt;"",M209&lt;'Dashboard'!$B$2,I209&lt;&gt;"Closed Won",I209&lt;&gt;"Closed Lost"),"Yes","No")</x:f>
        <x:v>No</x:v>
      </x:c>
      <x:c r="X209" t="str">
        <x:f>IF(OR(S209="Duplicate",T209="Yes",U209="Yes",D209="Unknown",W209="Yes"),"Yes","No")</x:f>
        <x:v>No</x:v>
      </x:c>
      <x:c r="Y209" t="n">
        <x:f>IF(S209="Duplicate",0,1)</x:f>
        <x:v>1</x:v>
      </x:c>
    </x:row>
    <x:row r="210">
      <x:c r="A210" t="str">
        <x:v>L-0209</x:v>
      </x:c>
      <x:c r="B210" t="str">
        <x:v>Emma</x:v>
      </x:c>
      <x:c r="C210" t="str">
        <x:v>Moore</x:v>
      </x:c>
      <x:c r="D210" t="str">
        <x:v>Apex Manufacturing</x:v>
      </x:c>
      <x:c r="E210" t="str">
        <x:v>emma.moore873@mailhub.net</x:v>
      </x:c>
      <x:c r="F210" t="str">
        <x:v>(670) 628-3804</x:v>
      </x:c>
      <x:c r="G210" t="str">
        <x:v>NY</x:v>
      </x:c>
      <x:c r="H210" t="str">
        <x:v>Website</x:v>
      </x:c>
      <x:c r="I210" t="str">
        <x:v>New</x:v>
      </x:c>
      <x:c r="J210" t="str">
        <x:v>Jordan Lee</x:v>
      </x:c>
      <x:c r="K210" s="6" t="n">
        <x:v>46069</x:v>
      </x:c>
      <x:c r="L210" s="6" t="n">
        <x:v>46214</x:v>
      </x:c>
      <x:c r="M210" s="6" t="n">
        <x:v>46218</x:v>
      </x:c>
      <x:c r="N210" s="8" t="n">
        <x:v>25600</x:v>
      </x:c>
      <x:c r="O210" t="str">
        <x:v>Biotech</x:v>
      </x:c>
      <x:c r="P210" t="str">
        <x:v>No</x:v>
      </x:c>
      <x:c r="Q210" t="str">
        <x:v>No</x:v>
      </x:c>
      <x:c r="R210" s="6"/>
      <x:c r="S210" t="str">
        <x:f>IF(E210="","Unique",IF(COUNTIF($E$2:E210,E210)&gt;1,"Duplicate","Unique"))</x:f>
        <x:v>Unique</x:v>
      </x:c>
      <x:c r="T210" t="str">
        <x:f>IF(J210="Unassigned","Yes","No")</x:f>
        <x:v>No</x:v>
      </x:c>
      <x:c r="U210" t="str">
        <x:f>IF(AND(E210="",F210=""),"Yes","No")</x:f>
        <x:v>No</x:v>
      </x:c>
      <x:c r="V210" t="str">
        <x:f>IF(AND('Dashboard'!$B$2-L210&gt;30,I210&lt;&gt;"Closed Won",I210&lt;&gt;"Closed Lost"),"Yes","No")</x:f>
        <x:v>Yes</x:v>
      </x:c>
      <x:c r="W210" t="str">
        <x:f>IF(AND(M210&lt;&gt;"",M210&lt;'Dashboard'!$B$2,I210&lt;&gt;"Closed Won",I210&lt;&gt;"Closed Lost"),"Yes","No")</x:f>
        <x:v>Yes</x:v>
      </x:c>
      <x:c r="X210" t="str">
        <x:f>IF(OR(S210="Duplicate",T210="Yes",U210="Yes",D210="Unknown",W210="Yes"),"Yes","No")</x:f>
        <x:v>Yes</x:v>
      </x:c>
      <x:c r="Y210" t="n">
        <x:f>IF(S210="Duplicate",0,1)</x:f>
        <x:v>1</x:v>
      </x:c>
    </x:row>
    <x:row r="211">
      <x:c r="A211" t="str">
        <x:v>L-0210</x:v>
      </x:c>
      <x:c r="B211" t="str">
        <x:v>Harper</x:v>
      </x:c>
      <x:c r="C211" t="str">
        <x:v>Rodriguez</x:v>
      </x:c>
      <x:c r="D211" t="str">
        <x:v>Northstar Labs</x:v>
      </x:c>
      <x:c r="E211" t="str">
        <x:v>harper.rodriguez969@examplebiz.com</x:v>
      </x:c>
      <x:c r="F211" t="str">
        <x:v>(788) 205-7844</x:v>
      </x:c>
      <x:c r="G211" t="str">
        <x:v>PA</x:v>
      </x:c>
      <x:c r="H211" t="str">
        <x:v>Email Campaign</x:v>
      </x:c>
      <x:c r="I211" t="str">
        <x:v>Contacted</x:v>
      </x:c>
      <x:c r="J211" t="str">
        <x:v>Unassigned</x:v>
      </x:c>
      <x:c r="K211" s="6" t="n">
        <x:v>46135</x:v>
      </x:c>
      <x:c r="L211" s="6" t="n">
        <x:v>46209</x:v>
      </x:c>
      <x:c r="M211" s="6" t="n">
        <x:v>46219</x:v>
      </x:c>
      <x:c r="N211" s="8" t="n">
        <x:v>76100</x:v>
      </x:c>
      <x:c r="O211" t="str">
        <x:v>Professional Services</x:v>
      </x:c>
      <x:c r="P211" t="str">
        <x:v>No</x:v>
      </x:c>
      <x:c r="Q211" t="str">
        <x:v>No</x:v>
      </x:c>
      <x:c r="R211" s="6"/>
      <x:c r="S211" t="str">
        <x:f>IF(E211="","Unique",IF(COUNTIF($E$2:E211,E211)&gt;1,"Duplicate","Unique"))</x:f>
        <x:v>Unique</x:v>
      </x:c>
      <x:c r="T211" t="str">
        <x:f>IF(J211="Unassigned","Yes","No")</x:f>
        <x:v>Yes</x:v>
      </x:c>
      <x:c r="U211" t="str">
        <x:f>IF(AND(E211="",F211=""),"Yes","No")</x:f>
        <x:v>No</x:v>
      </x:c>
      <x:c r="V211" t="str">
        <x:f>IF(AND('Dashboard'!$B$2-L211&gt;30,I211&lt;&gt;"Closed Won",I211&lt;&gt;"Closed Lost"),"Yes","No")</x:f>
        <x:v>Yes</x:v>
      </x:c>
      <x:c r="W211" t="str">
        <x:f>IF(AND(M211&lt;&gt;"",M211&lt;'Dashboard'!$B$2,I211&lt;&gt;"Closed Won",I211&lt;&gt;"Closed Lost"),"Yes","No")</x:f>
        <x:v>Yes</x:v>
      </x:c>
      <x:c r="X211" t="str">
        <x:f>IF(OR(S211="Duplicate",T211="Yes",U211="Yes",D211="Unknown",W211="Yes"),"Yes","No")</x:f>
        <x:v>Yes</x:v>
      </x:c>
      <x:c r="Y211" t="n">
        <x:f>IF(S211="Duplicate",0,1)</x:f>
        <x:v>1</x:v>
      </x:c>
    </x:row>
    <x:row r="212">
      <x:c r="A212" t="str">
        <x:v>L-0211</x:v>
      </x:c>
      <x:c r="B212" t="str">
        <x:v>Olivia</x:v>
      </x:c>
      <x:c r="C212" t="str">
        <x:v>Jones</x:v>
      </x:c>
      <x:c r="D212" t="str">
        <x:v>Pioneer Tech</x:v>
      </x:c>
      <x:c r="E212" t="str">
        <x:v>olivia.jones766@northmail.com</x:v>
      </x:c>
      <x:c r="F212" t="str">
        <x:v>666-674-3271</x:v>
      </x:c>
      <x:c r="G212" t="str">
        <x:v>FL</x:v>
      </x:c>
      <x:c r="H212" t="str">
        <x:v>LinkedIn</x:v>
      </x:c>
      <x:c r="I212" t="str">
        <x:v>New</x:v>
      </x:c>
      <x:c r="J212" t="str">
        <x:v>Alex Kim</x:v>
      </x:c>
      <x:c r="K212" s="6" t="n">
        <x:v>46124</x:v>
      </x:c>
      <x:c r="L212" s="6" t="n">
        <x:v>46202</x:v>
      </x:c>
      <x:c r="M212" s="6" t="n">
        <x:v>46210</x:v>
      </x:c>
      <x:c r="N212" s="8" t="n">
        <x:v>60500</x:v>
      </x:c>
      <x:c r="O212" t="str">
        <x:v>Financial Services</x:v>
      </x:c>
      <x:c r="P212" t="str">
        <x:v>No</x:v>
      </x:c>
      <x:c r="Q212" t="str">
        <x:v>No</x:v>
      </x:c>
      <x:c r="R212" s="6"/>
      <x:c r="S212" t="str">
        <x:f>IF(E212="","Unique",IF(COUNTIF($E$2:E212,E212)&gt;1,"Duplicate","Unique"))</x:f>
        <x:v>Unique</x:v>
      </x:c>
      <x:c r="T212" t="str">
        <x:f>IF(J212="Unassigned","Yes","No")</x:f>
        <x:v>No</x:v>
      </x:c>
      <x:c r="U212" t="str">
        <x:f>IF(AND(E212="",F212=""),"Yes","No")</x:f>
        <x:v>No</x:v>
      </x:c>
      <x:c r="V212" t="str">
        <x:f>IF(AND('Dashboard'!$B$2-L212&gt;30,I212&lt;&gt;"Closed Won",I212&lt;&gt;"Closed Lost"),"Yes","No")</x:f>
        <x:v>Yes</x:v>
      </x:c>
      <x:c r="W212" t="str">
        <x:f>IF(AND(M212&lt;&gt;"",M212&lt;'Dashboard'!$B$2,I212&lt;&gt;"Closed Won",I212&lt;&gt;"Closed Lost"),"Yes","No")</x:f>
        <x:v>Yes</x:v>
      </x:c>
      <x:c r="X212" t="str">
        <x:f>IF(OR(S212="Duplicate",T212="Yes",U212="Yes",D212="Unknown",W212="Yes"),"Yes","No")</x:f>
        <x:v>Yes</x:v>
      </x:c>
      <x:c r="Y212" t="n">
        <x:f>IF(S212="Duplicate",0,1)</x:f>
        <x:v>1</x:v>
      </x:c>
    </x:row>
    <x:row r="213">
      <x:c r="A213" t="str">
        <x:v>L-0212</x:v>
      </x:c>
      <x:c r="B213" t="str">
        <x:v>Henry</x:v>
      </x:c>
      <x:c r="C213" t="str">
        <x:v>Lee</x:v>
      </x:c>
      <x:c r="D213" t="str">
        <x:v>Apex Manufacturing</x:v>
      </x:c>
      <x:c r="E213" t="str">
        <x:v>henry.lee114@mailhub.net</x:v>
      </x:c>
      <x:c r="F213" t="str">
        <x:v>(575) 676-1669</x:v>
      </x:c>
      <x:c r="G213" t="str">
        <x:v>WA</x:v>
      </x:c>
      <x:c r="H213" t="str">
        <x:v>Email Campaign</x:v>
      </x:c>
      <x:c r="I213" t="str">
        <x:v>Opportunity</x:v>
      </x:c>
      <x:c r="J213" t="str">
        <x:v>Jordan Lee</x:v>
      </x:c>
      <x:c r="K213" s="6" t="n">
        <x:v>46232</x:v>
      </x:c>
      <x:c r="L213" s="6" t="n">
        <x:v>46248</x:v>
      </x:c>
      <x:c r="M213" s="6" t="n">
        <x:v>46272</x:v>
      </x:c>
      <x:c r="N213" s="8" t="n">
        <x:v>32500</x:v>
      </x:c>
      <x:c r="O213" t="str">
        <x:v>Technology</x:v>
      </x:c>
      <x:c r="P213" t="str">
        <x:v>Yes</x:v>
      </x:c>
      <x:c r="Q213" t="str">
        <x:v>No</x:v>
      </x:c>
      <x:c r="R213" s="6"/>
      <x:c r="S213" t="str">
        <x:f>IF(E213="","Unique",IF(COUNTIF($E$2:E213,E213)&gt;1,"Duplicate","Unique"))</x:f>
        <x:v>Unique</x:v>
      </x:c>
      <x:c r="T213" t="str">
        <x:f>IF(J213="Unassigned","Yes","No")</x:f>
        <x:v>No</x:v>
      </x:c>
      <x:c r="U213" t="str">
        <x:f>IF(AND(E213="",F213=""),"Yes","No")</x:f>
        <x:v>No</x:v>
      </x:c>
      <x:c r="V213" t="str">
        <x:f>IF(AND('Dashboard'!$B$2-L213&gt;30,I213&lt;&gt;"Closed Won",I213&lt;&gt;"Closed Lost"),"Yes","No")</x:f>
        <x:v>No</x:v>
      </x:c>
      <x:c r="W213" t="str">
        <x:f>IF(AND(M213&lt;&gt;"",M213&lt;'Dashboard'!$B$2,I213&lt;&gt;"Closed Won",I213&lt;&gt;"Closed Lost"),"Yes","No")</x:f>
        <x:v>No</x:v>
      </x:c>
      <x:c r="X213" t="str">
        <x:f>IF(OR(S213="Duplicate",T213="Yes",U213="Yes",D213="Unknown",W213="Yes"),"Yes","No")</x:f>
        <x:v>No</x:v>
      </x:c>
      <x:c r="Y213" t="n">
        <x:f>IF(S213="Duplicate",0,1)</x:f>
        <x:v>1</x:v>
      </x:c>
    </x:row>
    <x:row r="214">
      <x:c r="A214" t="str">
        <x:v>L-0213</x:v>
      </x:c>
      <x:c r="B214" t="str">
        <x:v>Isabella</x:v>
      </x:c>
      <x:c r="C214" t="str">
        <x:v>Anderson</x:v>
      </x:c>
      <x:c r="D214" t="str">
        <x:v>Horizon Bio</x:v>
      </x:c>
      <x:c r="E214" t="str">
        <x:v>isabella.anderson482@prospect.co</x:v>
      </x:c>
      <x:c r="F214" t="str">
        <x:v>(663) 835-7031</x:v>
      </x:c>
      <x:c r="G214" t="str">
        <x:v>NY</x:v>
      </x:c>
      <x:c r="H214" t="str">
        <x:v>Website</x:v>
      </x:c>
      <x:c r="I214" t="str">
        <x:v>Contacted</x:v>
      </x:c>
      <x:c r="J214" t="str">
        <x:v>Jordan Lee</x:v>
      </x:c>
      <x:c r="K214" s="6" t="n">
        <x:v>46131</x:v>
      </x:c>
      <x:c r="L214" s="6" t="n">
        <x:v>46193</x:v>
      </x:c>
      <x:c r="M214" s="6" t="n">
        <x:v>46212</x:v>
      </x:c>
      <x:c r="N214" s="8" t="n">
        <x:v>46000</x:v>
      </x:c>
      <x:c r="O214" t="str">
        <x:v>Professional Services</x:v>
      </x:c>
      <x:c r="P214" t="str">
        <x:v>No</x:v>
      </x:c>
      <x:c r="Q214" t="str">
        <x:v>No</x:v>
      </x:c>
      <x:c r="R214" s="6"/>
      <x:c r="S214" t="str">
        <x:f>IF(E214="","Unique",IF(COUNTIF($E$2:E214,E214)&gt;1,"Duplicate","Unique"))</x:f>
        <x:v>Unique</x:v>
      </x:c>
      <x:c r="T214" t="str">
        <x:f>IF(J214="Unassigned","Yes","No")</x:f>
        <x:v>No</x:v>
      </x:c>
      <x:c r="U214" t="str">
        <x:f>IF(AND(E214="",F214=""),"Yes","No")</x:f>
        <x:v>No</x:v>
      </x:c>
      <x:c r="V214" t="str">
        <x:f>IF(AND('Dashboard'!$B$2-L214&gt;30,I214&lt;&gt;"Closed Won",I214&lt;&gt;"Closed Lost"),"Yes","No")</x:f>
        <x:v>Yes</x:v>
      </x:c>
      <x:c r="W214" t="str">
        <x:f>IF(AND(M214&lt;&gt;"",M214&lt;'Dashboard'!$B$2,I214&lt;&gt;"Closed Won",I214&lt;&gt;"Closed Lost"),"Yes","No")</x:f>
        <x:v>Yes</x:v>
      </x:c>
      <x:c r="X214" t="str">
        <x:f>IF(OR(S214="Duplicate",T214="Yes",U214="Yes",D214="Unknown",W214="Yes"),"Yes","No")</x:f>
        <x:v>Yes</x:v>
      </x:c>
      <x:c r="Y214" t="n">
        <x:f>IF(S214="Duplicate",0,1)</x:f>
        <x:v>1</x:v>
      </x:c>
    </x:row>
    <x:row r="215">
      <x:c r="A215" t="str">
        <x:v>L-0214</x:v>
      </x:c>
      <x:c r="B215" t="str">
        <x:v>Emma</x:v>
      </x:c>
      <x:c r="C215" t="str">
        <x:v>Jackson</x:v>
      </x:c>
      <x:c r="D215" t="str">
        <x:v>Blue Ridge Supply</x:v>
      </x:c>
      <x:c r="E215" t="str">
        <x:v>emma.jackson356@mailhub.net</x:v>
      </x:c>
      <x:c r="F215" t="str">
        <x:v>(655) 955-1351</x:v>
      </x:c>
      <x:c r="G215" t="str">
        <x:v>GA</x:v>
      </x:c>
      <x:c r="H215" t="str">
        <x:v>Outbound</x:v>
      </x:c>
      <x:c r="I215" t="str">
        <x:v>New</x:v>
      </x:c>
      <x:c r="J215" t="str">
        <x:v>Morgan Reed</x:v>
      </x:c>
      <x:c r="K215" s="6" t="n">
        <x:v>46140</x:v>
      </x:c>
      <x:c r="L215" s="6" t="n">
        <x:v>46227</x:v>
      </x:c>
      <x:c r="M215" s="6" t="n">
        <x:v>46247</x:v>
      </x:c>
      <x:c r="N215" s="8" t="n">
        <x:v>79400</x:v>
      </x:c>
      <x:c r="O215" t="str">
        <x:v>Retail</x:v>
      </x:c>
      <x:c r="P215" t="str">
        <x:v>No</x:v>
      </x:c>
      <x:c r="Q215" t="str">
        <x:v>No</x:v>
      </x:c>
      <x:c r="R215" s="6"/>
      <x:c r="S215" t="str">
        <x:f>IF(E215="","Unique",IF(COUNTIF($E$2:E215,E215)&gt;1,"Duplicate","Unique"))</x:f>
        <x:v>Unique</x:v>
      </x:c>
      <x:c r="T215" t="str">
        <x:f>IF(J215="Unassigned","Yes","No")</x:f>
        <x:v>No</x:v>
      </x:c>
      <x:c r="U215" t="str">
        <x:f>IF(AND(E215="",F215=""),"Yes","No")</x:f>
        <x:v>No</x:v>
      </x:c>
      <x:c r="V215" t="str">
        <x:f>IF(AND('Dashboard'!$B$2-L215&gt;30,I215&lt;&gt;"Closed Won",I215&lt;&gt;"Closed Lost"),"Yes","No")</x:f>
        <x:v>No</x:v>
      </x:c>
      <x:c r="W215" t="str">
        <x:f>IF(AND(M215&lt;&gt;"",M215&lt;'Dashboard'!$B$2,I215&lt;&gt;"Closed Won",I215&lt;&gt;"Closed Lost"),"Yes","No")</x:f>
        <x:v>Yes</x:v>
      </x:c>
      <x:c r="X215" t="str">
        <x:f>IF(OR(S215="Duplicate",T215="Yes",U215="Yes",D215="Unknown",W215="Yes"),"Yes","No")</x:f>
        <x:v>Yes</x:v>
      </x:c>
      <x:c r="Y215" t="n">
        <x:f>IF(S215="Duplicate",0,1)</x:f>
        <x:v>1</x:v>
      </x:c>
    </x:row>
    <x:row r="216">
      <x:c r="A216" t="str">
        <x:v>L-0215</x:v>
      </x:c>
      <x:c r="B216" t="str">
        <x:v>Emma</x:v>
      </x:c>
      <x:c r="C216" t="str">
        <x:v>Martinez</x:v>
      </x:c>
      <x:c r="D216" t="str">
        <x:v>Cedarworks</x:v>
      </x:c>
      <x:c r="E216" t="str">
        <x:v>emma.martinez467@examplebiz.com</x:v>
      </x:c>
      <x:c r="F216" t="str">
        <x:v>(834) 364-9770</x:v>
      </x:c>
      <x:c r="G216" t="str">
        <x:v>FL</x:v>
      </x:c>
      <x:c r="H216" t="str">
        <x:v>Webinar</x:v>
      </x:c>
      <x:c r="I216" t="str">
        <x:v>Closed Lost</x:v>
      </x:c>
      <x:c r="J216" t="str">
        <x:v>Casey Patel</x:v>
      </x:c>
      <x:c r="K216" s="6" t="n">
        <x:v>46049</x:v>
      </x:c>
      <x:c r="L216" s="6" t="n">
        <x:v>46061</x:v>
      </x:c>
      <x:c r="M216" s="6"/>
      <x:c r="N216" s="8" t="n">
        <x:v>14700</x:v>
      </x:c>
      <x:c r="O216" t="str">
        <x:v>Financial Services</x:v>
      </x:c>
      <x:c r="P216" t="str">
        <x:v>Yes</x:v>
      </x:c>
      <x:c r="Q216" t="str">
        <x:v>No</x:v>
      </x:c>
      <x:c r="R216" s="6" t="n">
        <x:v>46064</x:v>
      </x:c>
      <x:c r="S216" t="str">
        <x:f>IF(E216="","Unique",IF(COUNTIF($E$2:E216,E216)&gt;1,"Duplicate","Unique"))</x:f>
        <x:v>Unique</x:v>
      </x:c>
      <x:c r="T216" t="str">
        <x:f>IF(J216="Unassigned","Yes","No")</x:f>
        <x:v>No</x:v>
      </x:c>
      <x:c r="U216" t="str">
        <x:f>IF(AND(E216="",F216=""),"Yes","No")</x:f>
        <x:v>No</x:v>
      </x:c>
      <x:c r="V216" t="str">
        <x:f>IF(AND('Dashboard'!$B$2-L216&gt;30,I216&lt;&gt;"Closed Won",I216&lt;&gt;"Closed Lost"),"Yes","No")</x:f>
        <x:v>No</x:v>
      </x:c>
      <x:c r="W216" t="str">
        <x:f>IF(AND(M216&lt;&gt;"",M216&lt;'Dashboard'!$B$2,I216&lt;&gt;"Closed Won",I216&lt;&gt;"Closed Lost"),"Yes","No")</x:f>
        <x:v>No</x:v>
      </x:c>
      <x:c r="X216" t="str">
        <x:f>IF(OR(S216="Duplicate",T216="Yes",U216="Yes",D216="Unknown",W216="Yes"),"Yes","No")</x:f>
        <x:v>No</x:v>
      </x:c>
      <x:c r="Y216" t="n">
        <x:f>IF(S216="Duplicate",0,1)</x:f>
        <x:v>1</x:v>
      </x:c>
    </x:row>
    <x:row r="217">
      <x:c r="A217" t="str">
        <x:v>L-0216</x:v>
      </x:c>
      <x:c r="B217" t="str">
        <x:v>Logan</x:v>
      </x:c>
      <x:c r="C217" t="str">
        <x:v>Jones</x:v>
      </x:c>
      <x:c r="D217" t="str">
        <x:v>Pioneer Tech</x:v>
      </x:c>
      <x:c r="E217" t="str">
        <x:v>logan.jones971@mailhub.net</x:v>
      </x:c>
      <x:c r="F217" t="str">
        <x:v>(528) 359-1070</x:v>
      </x:c>
      <x:c r="G217" t="str">
        <x:v>GA</x:v>
      </x:c>
      <x:c r="H217" t="str">
        <x:v>Outbound</x:v>
      </x:c>
      <x:c r="I217" t="str">
        <x:v>Qualified</x:v>
      </x:c>
      <x:c r="J217" t="str">
        <x:v>Taylor Morgan</x:v>
      </x:c>
      <x:c r="K217" s="6" t="n">
        <x:v>46215</x:v>
      </x:c>
      <x:c r="L217" s="6" t="n">
        <x:v>46216</x:v>
      </x:c>
      <x:c r="M217" s="6" t="n">
        <x:v>46231</x:v>
      </x:c>
      <x:c r="N217" s="8" t="n">
        <x:v>79300</x:v>
      </x:c>
      <x:c r="O217" t="str">
        <x:v>Logistics</x:v>
      </x:c>
      <x:c r="P217" t="str">
        <x:v>Yes</x:v>
      </x:c>
      <x:c r="Q217" t="str">
        <x:v>No</x:v>
      </x:c>
      <x:c r="R217" s="6"/>
      <x:c r="S217" t="str">
        <x:f>IF(E217="","Unique",IF(COUNTIF($E$2:E217,E217)&gt;1,"Duplicate","Unique"))</x:f>
        <x:v>Unique</x:v>
      </x:c>
      <x:c r="T217" t="str">
        <x:f>IF(J217="Unassigned","Yes","No")</x:f>
        <x:v>No</x:v>
      </x:c>
      <x:c r="U217" t="str">
        <x:f>IF(AND(E217="",F217=""),"Yes","No")</x:f>
        <x:v>No</x:v>
      </x:c>
      <x:c r="V217" t="str">
        <x:f>IF(AND('Dashboard'!$B$2-L217&gt;30,I217&lt;&gt;"Closed Won",I217&lt;&gt;"Closed Lost"),"Yes","No")</x:f>
        <x:v>Yes</x:v>
      </x:c>
      <x:c r="W217" t="str">
        <x:f>IF(AND(M217&lt;&gt;"",M217&lt;'Dashboard'!$B$2,I217&lt;&gt;"Closed Won",I217&lt;&gt;"Closed Lost"),"Yes","No")</x:f>
        <x:v>Yes</x:v>
      </x:c>
      <x:c r="X217" t="str">
        <x:f>IF(OR(S217="Duplicate",T217="Yes",U217="Yes",D217="Unknown",W217="Yes"),"Yes","No")</x:f>
        <x:v>Yes</x:v>
      </x:c>
      <x:c r="Y217" t="n">
        <x:f>IF(S217="Duplicate",0,1)</x:f>
        <x:v>1</x:v>
      </x:c>
    </x:row>
    <x:row r="218">
      <x:c r="A218" t="str">
        <x:v>L-0217</x:v>
      </x:c>
      <x:c r="B218" t="str">
        <x:v>Benjamin</x:v>
      </x:c>
      <x:c r="C218" t="str">
        <x:v>Johnson</x:v>
      </x:c>
      <x:c r="D218" t="str">
        <x:v>Blue Ridge Supply</x:v>
      </x:c>
      <x:c r="E218" t="str">
        <x:v>benjamin.johnson623@examplebiz.com</x:v>
      </x:c>
      <x:c r="F218" t="str">
        <x:v>(798) 739-4639</x:v>
      </x:c>
      <x:c r="G218" t="str">
        <x:v>NY</x:v>
      </x:c>
      <x:c r="H218" t="str">
        <x:v>Website</x:v>
      </x:c>
      <x:c r="I218" t="str">
        <x:v>Opportunity</x:v>
      </x:c>
      <x:c r="J218" t="str">
        <x:v>Jordan Lee</x:v>
      </x:c>
      <x:c r="K218" s="6" t="n">
        <x:v>46190</x:v>
      </x:c>
      <x:c r="L218" s="6" t="n">
        <x:v>46218</x:v>
      </x:c>
      <x:c r="M218" s="6" t="n">
        <x:v>46232</x:v>
      </x:c>
      <x:c r="N218" s="8" t="n">
        <x:v>10100</x:v>
      </x:c>
      <x:c r="O218" t="str">
        <x:v>Technology</x:v>
      </x:c>
      <x:c r="P218" t="str">
        <x:v>Yes</x:v>
      </x:c>
      <x:c r="Q218" t="str">
        <x:v>No</x:v>
      </x:c>
      <x:c r="R218" s="6"/>
      <x:c r="S218" t="str">
        <x:f>IF(E218="","Unique",IF(COUNTIF($E$2:E218,E218)&gt;1,"Duplicate","Unique"))</x:f>
        <x:v>Unique</x:v>
      </x:c>
      <x:c r="T218" t="str">
        <x:f>IF(J218="Unassigned","Yes","No")</x:f>
        <x:v>No</x:v>
      </x:c>
      <x:c r="U218" t="str">
        <x:f>IF(AND(E218="",F218=""),"Yes","No")</x:f>
        <x:v>No</x:v>
      </x:c>
      <x:c r="V218" t="str">
        <x:f>IF(AND('Dashboard'!$B$2-L218&gt;30,I218&lt;&gt;"Closed Won",I218&lt;&gt;"Closed Lost"),"Yes","No")</x:f>
        <x:v>Yes</x:v>
      </x:c>
      <x:c r="W218" t="str">
        <x:f>IF(AND(M218&lt;&gt;"",M218&lt;'Dashboard'!$B$2,I218&lt;&gt;"Closed Won",I218&lt;&gt;"Closed Lost"),"Yes","No")</x:f>
        <x:v>Yes</x:v>
      </x:c>
      <x:c r="X218" t="str">
        <x:f>IF(OR(S218="Duplicate",T218="Yes",U218="Yes",D218="Unknown",W218="Yes"),"Yes","No")</x:f>
        <x:v>Yes</x:v>
      </x:c>
      <x:c r="Y218" t="n">
        <x:f>IF(S218="Duplicate",0,1)</x:f>
        <x:v>1</x:v>
      </x:c>
    </x:row>
    <x:row r="219">
      <x:c r="A219" t="str">
        <x:v>L-0218</x:v>
      </x:c>
      <x:c r="B219" t="str">
        <x:v>Emma</x:v>
      </x:c>
      <x:c r="C219" t="str">
        <x:v>Taylor</x:v>
      </x:c>
      <x:c r="D219" t="str">
        <x:v>Pioneer Tech</x:v>
      </x:c>
      <x:c r="E219" t="str">
        <x:v>emma.taylor910@mailhub.net</x:v>
      </x:c>
      <x:c r="F219" t="str">
        <x:v>(960) 625-8249</x:v>
      </x:c>
      <x:c r="G219" t="str">
        <x:v>IL</x:v>
      </x:c>
      <x:c r="H219" t="str">
        <x:v>Website</x:v>
      </x:c>
      <x:c r="I219" t="str">
        <x:v>Contacted</x:v>
      </x:c>
      <x:c r="J219" t="str">
        <x:v>Jamie Brooks</x:v>
      </x:c>
      <x:c r="K219" s="6" t="n">
        <x:v>46168</x:v>
      </x:c>
      <x:c r="L219" s="6" t="n">
        <x:v>46225</x:v>
      </x:c>
      <x:c r="M219" s="6" t="n">
        <x:v>46245</x:v>
      </x:c>
      <x:c r="N219" s="8" t="n">
        <x:v>9700</x:v>
      </x:c>
      <x:c r="O219" t="str">
        <x:v>Professional Services</x:v>
      </x:c>
      <x:c r="P219" t="str">
        <x:v>No</x:v>
      </x:c>
      <x:c r="Q219" t="str">
        <x:v>No</x:v>
      </x:c>
      <x:c r="R219" s="6"/>
      <x:c r="S219" t="str">
        <x:f>IF(E219="","Unique",IF(COUNTIF($E$2:E219,E219)&gt;1,"Duplicate","Unique"))</x:f>
        <x:v>Unique</x:v>
      </x:c>
      <x:c r="T219" t="str">
        <x:f>IF(J219="Unassigned","Yes","No")</x:f>
        <x:v>No</x:v>
      </x:c>
      <x:c r="U219" t="str">
        <x:f>IF(AND(E219="",F219=""),"Yes","No")</x:f>
        <x:v>No</x:v>
      </x:c>
      <x:c r="V219" t="str">
        <x:f>IF(AND('Dashboard'!$B$2-L219&gt;30,I219&lt;&gt;"Closed Won",I219&lt;&gt;"Closed Lost"),"Yes","No")</x:f>
        <x:v>No</x:v>
      </x:c>
      <x:c r="W219" t="str">
        <x:f>IF(AND(M219&lt;&gt;"",M219&lt;'Dashboard'!$B$2,I219&lt;&gt;"Closed Won",I219&lt;&gt;"Closed Lost"),"Yes","No")</x:f>
        <x:v>Yes</x:v>
      </x:c>
      <x:c r="X219" t="str">
        <x:f>IF(OR(S219="Duplicate",T219="Yes",U219="Yes",D219="Unknown",W219="Yes"),"Yes","No")</x:f>
        <x:v>Yes</x:v>
      </x:c>
      <x:c r="Y219" t="n">
        <x:f>IF(S219="Duplicate",0,1)</x:f>
        <x:v>1</x:v>
      </x:c>
    </x:row>
    <x:row r="220">
      <x:c r="A220" t="str">
        <x:v>L-0219</x:v>
      </x:c>
      <x:c r="B220" t="str">
        <x:v>Luna</x:v>
      </x:c>
      <x:c r="C220" t="str">
        <x:v>Thomas</x:v>
      </x:c>
      <x:c r="D220" t="str">
        <x:v>Unknown</x:v>
      </x:c>
      <x:c r="E220" t="str">
        <x:v>luna.thomas205@examplebiz.com</x:v>
      </x:c>
      <x:c r="F220" t="str">
        <x:v>(591) 496-9037</x:v>
      </x:c>
      <x:c r="G220" t="str">
        <x:v>AZ</x:v>
      </x:c>
      <x:c r="H220" t="str">
        <x:v>LinkedIn</x:v>
      </x:c>
      <x:c r="I220" t="str">
        <x:v>Contacted</x:v>
      </x:c>
      <x:c r="J220" t="str">
        <x:v>Taylor Morgan</x:v>
      </x:c>
      <x:c r="K220" s="6" t="n">
        <x:v>46202</x:v>
      </x:c>
      <x:c r="L220" s="6" t="n">
        <x:v>46237</x:v>
      </x:c>
      <x:c r="M220" s="6" t="n">
        <x:v>46254</x:v>
      </x:c>
      <x:c r="N220" s="8" t="n">
        <x:v>61100</x:v>
      </x:c>
      <x:c r="O220" t="str">
        <x:v>Healthcare</x:v>
      </x:c>
      <x:c r="P220" t="str">
        <x:v>No</x:v>
      </x:c>
      <x:c r="Q220" t="str">
        <x:v>No</x:v>
      </x:c>
      <x:c r="R220" s="6"/>
      <x:c r="S220" t="str">
        <x:f>IF(E220="","Unique",IF(COUNTIF($E$2:E220,E220)&gt;1,"Duplicate","Unique"))</x:f>
        <x:v>Unique</x:v>
      </x:c>
      <x:c r="T220" t="str">
        <x:f>IF(J220="Unassigned","Yes","No")</x:f>
        <x:v>No</x:v>
      </x:c>
      <x:c r="U220" t="str">
        <x:f>IF(AND(E220="",F220=""),"Yes","No")</x:f>
        <x:v>No</x:v>
      </x:c>
      <x:c r="V220" t="str">
        <x:f>IF(AND('Dashboard'!$B$2-L220&gt;30,I220&lt;&gt;"Closed Won",I220&lt;&gt;"Closed Lost"),"Yes","No")</x:f>
        <x:v>No</x:v>
      </x:c>
      <x:c r="W220" t="str">
        <x:f>IF(AND(M220&lt;&gt;"",M220&lt;'Dashboard'!$B$2,I220&lt;&gt;"Closed Won",I220&lt;&gt;"Closed Lost"),"Yes","No")</x:f>
        <x:v>No</x:v>
      </x:c>
      <x:c r="X220" t="str">
        <x:f>IF(OR(S220="Duplicate",T220="Yes",U220="Yes",D220="Unknown",W220="Yes"),"Yes","No")</x:f>
        <x:v>Yes</x:v>
      </x:c>
      <x:c r="Y220" t="n">
        <x:f>IF(S220="Duplicate",0,1)</x:f>
        <x:v>1</x:v>
      </x:c>
    </x:row>
    <x:row r="221">
      <x:c r="A221" t="str">
        <x:v>L-0220</x:v>
      </x:c>
      <x:c r="B221" t="str">
        <x:v>Lucas</x:v>
      </x:c>
      <x:c r="C221" t="str">
        <x:v>Taylor</x:v>
      </x:c>
      <x:c r="D221" t="str">
        <x:v>Cedarworks</x:v>
      </x:c>
      <x:c r="E221" t="str">
        <x:v>lucas.taylor614@prospect.co</x:v>
      </x:c>
      <x:c r="F221" t="str">
        <x:v>(796) 692-8144</x:v>
      </x:c>
      <x:c r="G221" t="str">
        <x:v>PA</x:v>
      </x:c>
      <x:c r="H221" t="str">
        <x:v>LinkedIn</x:v>
      </x:c>
      <x:c r="I221" t="str">
        <x:v>New</x:v>
      </x:c>
      <x:c r="J221" t="str">
        <x:v>Jordan Lee</x:v>
      </x:c>
      <x:c r="K221" s="6" t="n">
        <x:v>46051</x:v>
      </x:c>
      <x:c r="L221" s="6" t="n">
        <x:v>46121</x:v>
      </x:c>
      <x:c r="M221" s="6" t="n">
        <x:v>46139</x:v>
      </x:c>
      <x:c r="N221" s="8" t="n">
        <x:v>84500</x:v>
      </x:c>
      <x:c r="O221" t="str">
        <x:v>Logistics</x:v>
      </x:c>
      <x:c r="P221" t="str">
        <x:v>No</x:v>
      </x:c>
      <x:c r="Q221" t="str">
        <x:v>No</x:v>
      </x:c>
      <x:c r="R221" s="6"/>
      <x:c r="S221" t="str">
        <x:f>IF(E221="","Unique",IF(COUNTIF($E$2:E221,E221)&gt;1,"Duplicate","Unique"))</x:f>
        <x:v>Unique</x:v>
      </x:c>
      <x:c r="T221" t="str">
        <x:f>IF(J221="Unassigned","Yes","No")</x:f>
        <x:v>No</x:v>
      </x:c>
      <x:c r="U221" t="str">
        <x:f>IF(AND(E221="",F221=""),"Yes","No")</x:f>
        <x:v>No</x:v>
      </x:c>
      <x:c r="V221" t="str">
        <x:f>IF(AND('Dashboard'!$B$2-L221&gt;30,I221&lt;&gt;"Closed Won",I221&lt;&gt;"Closed Lost"),"Yes","No")</x:f>
        <x:v>Yes</x:v>
      </x:c>
      <x:c r="W221" t="str">
        <x:f>IF(AND(M221&lt;&gt;"",M221&lt;'Dashboard'!$B$2,I221&lt;&gt;"Closed Won",I221&lt;&gt;"Closed Lost"),"Yes","No")</x:f>
        <x:v>Yes</x:v>
      </x:c>
      <x:c r="X221" t="str">
        <x:f>IF(OR(S221="Duplicate",T221="Yes",U221="Yes",D221="Unknown",W221="Yes"),"Yes","No")</x:f>
        <x:v>Yes</x:v>
      </x:c>
      <x:c r="Y221" t="n">
        <x:f>IF(S221="Duplicate",0,1)</x:f>
        <x:v>1</x:v>
      </x:c>
    </x:row>
    <x:row r="222">
      <x:c r="A222" t="str">
        <x:v>L-0221</x:v>
      </x:c>
      <x:c r="B222" t="str">
        <x:v>Sophia</x:v>
      </x:c>
      <x:c r="C222" t="str">
        <x:v>Anderson</x:v>
      </x:c>
      <x:c r="D222" t="str">
        <x:v>Vertex Solutions</x:v>
      </x:c>
      <x:c r="E222" t="str">
        <x:v>sophia.anderson784@northmail.com</x:v>
      </x:c>
      <x:c r="F222" t="str">
        <x:v>814-970-3738</x:v>
      </x:c>
      <x:c r="G222" t="str">
        <x:v>CO</x:v>
      </x:c>
      <x:c r="H222" t="str">
        <x:v>Referral</x:v>
      </x:c>
      <x:c r="I222" t="str">
        <x:v>Qualified</x:v>
      </x:c>
      <x:c r="J222" t="str">
        <x:v>Taylor Morgan</x:v>
      </x:c>
      <x:c r="K222" s="6" t="n">
        <x:v>46227</x:v>
      </x:c>
      <x:c r="L222" s="6" t="n">
        <x:v>46243</x:v>
      </x:c>
      <x:c r="M222" s="6" t="n">
        <x:v>46252</x:v>
      </x:c>
      <x:c r="N222" s="8" t="n">
        <x:v>65700</x:v>
      </x:c>
      <x:c r="O222" t="str">
        <x:v>Biotech</x:v>
      </x:c>
      <x:c r="P222" t="str">
        <x:v>Yes</x:v>
      </x:c>
      <x:c r="Q222" t="str">
        <x:v>No</x:v>
      </x:c>
      <x:c r="R222" s="6"/>
      <x:c r="S222" t="str">
        <x:f>IF(E222="","Unique",IF(COUNTIF($E$2:E222,E222)&gt;1,"Duplicate","Unique"))</x:f>
        <x:v>Unique</x:v>
      </x:c>
      <x:c r="T222" t="str">
        <x:f>IF(J222="Unassigned","Yes","No")</x:f>
        <x:v>No</x:v>
      </x:c>
      <x:c r="U222" t="str">
        <x:f>IF(AND(E222="",F222=""),"Yes","No")</x:f>
        <x:v>No</x:v>
      </x:c>
      <x:c r="V222" t="str">
        <x:f>IF(AND('Dashboard'!$B$2-L222&gt;30,I222&lt;&gt;"Closed Won",I222&lt;&gt;"Closed Lost"),"Yes","No")</x:f>
        <x:v>No</x:v>
      </x:c>
      <x:c r="W222" t="str">
        <x:f>IF(AND(M222&lt;&gt;"",M222&lt;'Dashboard'!$B$2,I222&lt;&gt;"Closed Won",I222&lt;&gt;"Closed Lost"),"Yes","No")</x:f>
        <x:v>No</x:v>
      </x:c>
      <x:c r="X222" t="str">
        <x:f>IF(OR(S222="Duplicate",T222="Yes",U222="Yes",D222="Unknown",W222="Yes"),"Yes","No")</x:f>
        <x:v>No</x:v>
      </x:c>
      <x:c r="Y222" t="n">
        <x:f>IF(S222="Duplicate",0,1)</x:f>
        <x:v>1</x:v>
      </x:c>
    </x:row>
    <x:row r="223">
      <x:c r="A223" t="str">
        <x:v>L-0222</x:v>
      </x:c>
      <x:c r="B223" t="str">
        <x:v>James</x:v>
      </x:c>
      <x:c r="C223" t="str">
        <x:v>Wilson</x:v>
      </x:c>
      <x:c r="D223" t="str">
        <x:v>Cedarworks</x:v>
      </x:c>
      <x:c r="E223" t="str"/>
      <x:c r="F223" t="str">
        <x:v>(628) 671-2251</x:v>
      </x:c>
      <x:c r="G223" t="str">
        <x:v>FL</x:v>
      </x:c>
      <x:c r="H223" t="str">
        <x:v>Website</x:v>
      </x:c>
      <x:c r="I223" t="str">
        <x:v>Contacted</x:v>
      </x:c>
      <x:c r="J223" t="str">
        <x:v>Alex Kim</x:v>
      </x:c>
      <x:c r="K223" s="6" t="n">
        <x:v>46198</x:v>
      </x:c>
      <x:c r="L223" s="6" t="n">
        <x:v>46248</x:v>
      </x:c>
      <x:c r="M223" s="6" t="n">
        <x:v>46268</x:v>
      </x:c>
      <x:c r="N223" s="8" t="n">
        <x:v>53100</x:v>
      </x:c>
      <x:c r="O223" t="str">
        <x:v>Technology</x:v>
      </x:c>
      <x:c r="P223" t="str">
        <x:v>No</x:v>
      </x:c>
      <x:c r="Q223" t="str">
        <x:v>No</x:v>
      </x:c>
      <x:c r="R223" s="6"/>
      <x:c r="S223" t="str">
        <x:f>IF(E223="","Unique",IF(COUNTIF($E$2:E223,E223)&gt;1,"Duplicate","Unique"))</x:f>
        <x:v>Unique</x:v>
      </x:c>
      <x:c r="T223" t="str">
        <x:f>IF(J223="Unassigned","Yes","No")</x:f>
        <x:v>No</x:v>
      </x:c>
      <x:c r="U223" t="str">
        <x:f>IF(AND(E223="",F223=""),"Yes","No")</x:f>
        <x:v>No</x:v>
      </x:c>
      <x:c r="V223" t="str">
        <x:f>IF(AND('Dashboard'!$B$2-L223&gt;30,I223&lt;&gt;"Closed Won",I223&lt;&gt;"Closed Lost"),"Yes","No")</x:f>
        <x:v>No</x:v>
      </x:c>
      <x:c r="W223" t="str">
        <x:f>IF(AND(M223&lt;&gt;"",M223&lt;'Dashboard'!$B$2,I223&lt;&gt;"Closed Won",I223&lt;&gt;"Closed Lost"),"Yes","No")</x:f>
        <x:v>No</x:v>
      </x:c>
      <x:c r="X223" t="str">
        <x:f>IF(OR(S223="Duplicate",T223="Yes",U223="Yes",D223="Unknown",W223="Yes"),"Yes","No")</x:f>
        <x:v>No</x:v>
      </x:c>
      <x:c r="Y223" t="n">
        <x:f>IF(S223="Duplicate",0,1)</x:f>
        <x:v>1</x:v>
      </x:c>
    </x:row>
    <x:row r="224">
      <x:c r="A224" t="str">
        <x:v>L-0223</x:v>
      </x:c>
      <x:c r="B224" t="str">
        <x:v>Noah</x:v>
      </x:c>
      <x:c r="C224" t="str">
        <x:v>Davis</x:v>
      </x:c>
      <x:c r="D224" t="str">
        <x:v>Unknown</x:v>
      </x:c>
      <x:c r="E224" t="str">
        <x:v>noah.davis80@northmail.com</x:v>
      </x:c>
      <x:c r="F224" t="str">
        <x:v>(696) 975-8065</x:v>
      </x:c>
      <x:c r="G224" t="str">
        <x:v>PA</x:v>
      </x:c>
      <x:c r="H224" t="str">
        <x:v>Website</x:v>
      </x:c>
      <x:c r="I224" t="str">
        <x:v>New</x:v>
      </x:c>
      <x:c r="J224" t="str">
        <x:v>Jordan Lee</x:v>
      </x:c>
      <x:c r="K224" s="6" t="n">
        <x:v>46213</x:v>
      </x:c>
      <x:c r="L224" s="6" t="n">
        <x:v>46218</x:v>
      </x:c>
      <x:c r="M224" s="6" t="n">
        <x:v>46234</x:v>
      </x:c>
      <x:c r="N224" s="8" t="n">
        <x:v>59500</x:v>
      </x:c>
      <x:c r="O224" t="str">
        <x:v>Manufacturing</x:v>
      </x:c>
      <x:c r="P224" t="str">
        <x:v>No</x:v>
      </x:c>
      <x:c r="Q224" t="str">
        <x:v>No</x:v>
      </x:c>
      <x:c r="R224" s="6"/>
      <x:c r="S224" t="str">
        <x:f>IF(E224="","Unique",IF(COUNTIF($E$2:E224,E224)&gt;1,"Duplicate","Unique"))</x:f>
        <x:v>Unique</x:v>
      </x:c>
      <x:c r="T224" t="str">
        <x:f>IF(J224="Unassigned","Yes","No")</x:f>
        <x:v>No</x:v>
      </x:c>
      <x:c r="U224" t="str">
        <x:f>IF(AND(E224="",F224=""),"Yes","No")</x:f>
        <x:v>No</x:v>
      </x:c>
      <x:c r="V224" t="str">
        <x:f>IF(AND('Dashboard'!$B$2-L224&gt;30,I224&lt;&gt;"Closed Won",I224&lt;&gt;"Closed Lost"),"Yes","No")</x:f>
        <x:v>Yes</x:v>
      </x:c>
      <x:c r="W224" t="str">
        <x:f>IF(AND(M224&lt;&gt;"",M224&lt;'Dashboard'!$B$2,I224&lt;&gt;"Closed Won",I224&lt;&gt;"Closed Lost"),"Yes","No")</x:f>
        <x:v>Yes</x:v>
      </x:c>
      <x:c r="X224" t="str">
        <x:f>IF(OR(S224="Duplicate",T224="Yes",U224="Yes",D224="Unknown",W224="Yes"),"Yes","No")</x:f>
        <x:v>Yes</x:v>
      </x:c>
      <x:c r="Y224" t="n">
        <x:f>IF(S224="Duplicate",0,1)</x:f>
        <x:v>1</x:v>
      </x:c>
    </x:row>
    <x:row r="225">
      <x:c r="A225" t="str">
        <x:v>L-0224</x:v>
      </x:c>
      <x:c r="B225" t="str">
        <x:v>Olivia</x:v>
      </x:c>
      <x:c r="C225" t="str">
        <x:v>Garcia</x:v>
      </x:c>
      <x:c r="D225" t="str">
        <x:v>Pioneer Tech</x:v>
      </x:c>
      <x:c r="E225" t="str"/>
      <x:c r="F225" t="str">
        <x:v>(718) 783-2119</x:v>
      </x:c>
      <x:c r="G225" t="str">
        <x:v>TX</x:v>
      </x:c>
      <x:c r="H225" t="str">
        <x:v>Website</x:v>
      </x:c>
      <x:c r="I225" t="str">
        <x:v>Opportunity</x:v>
      </x:c>
      <x:c r="J225" t="str">
        <x:v>Alex Kim</x:v>
      </x:c>
      <x:c r="K225" s="6" t="n">
        <x:v>46175</x:v>
      </x:c>
      <x:c r="L225" s="6" t="n">
        <x:v>46249</x:v>
      </x:c>
      <x:c r="M225" s="6" t="n">
        <x:v>46263</x:v>
      </x:c>
      <x:c r="N225" s="8" t="n">
        <x:v>31600</x:v>
      </x:c>
      <x:c r="O225" t="str">
        <x:v>Healthcare</x:v>
      </x:c>
      <x:c r="P225" t="str">
        <x:v>Yes</x:v>
      </x:c>
      <x:c r="Q225" t="str">
        <x:v>No</x:v>
      </x:c>
      <x:c r="R225" s="6"/>
      <x:c r="S225" t="str">
        <x:f>IF(E225="","Unique",IF(COUNTIF($E$2:E225,E225)&gt;1,"Duplicate","Unique"))</x:f>
        <x:v>Unique</x:v>
      </x:c>
      <x:c r="T225" t="str">
        <x:f>IF(J225="Unassigned","Yes","No")</x:f>
        <x:v>No</x:v>
      </x:c>
      <x:c r="U225" t="str">
        <x:f>IF(AND(E225="",F225=""),"Yes","No")</x:f>
        <x:v>No</x:v>
      </x:c>
      <x:c r="V225" t="str">
        <x:f>IF(AND('Dashboard'!$B$2-L225&gt;30,I225&lt;&gt;"Closed Won",I225&lt;&gt;"Closed Lost"),"Yes","No")</x:f>
        <x:v>No</x:v>
      </x:c>
      <x:c r="W225" t="str">
        <x:f>IF(AND(M225&lt;&gt;"",M225&lt;'Dashboard'!$B$2,I225&lt;&gt;"Closed Won",I225&lt;&gt;"Closed Lost"),"Yes","No")</x:f>
        <x:v>No</x:v>
      </x:c>
      <x:c r="X225" t="str">
        <x:f>IF(OR(S225="Duplicate",T225="Yes",U225="Yes",D225="Unknown",W225="Yes"),"Yes","No")</x:f>
        <x:v>No</x:v>
      </x:c>
      <x:c r="Y225" t="n">
        <x:f>IF(S225="Duplicate",0,1)</x:f>
        <x:v>1</x:v>
      </x:c>
    </x:row>
    <x:row r="226">
      <x:c r="A226" t="str">
        <x:v>L-0225</x:v>
      </x:c>
      <x:c r="B226" t="str">
        <x:v>Benjamin</x:v>
      </x:c>
      <x:c r="C226" t="str">
        <x:v>Anderson</x:v>
      </x:c>
      <x:c r="D226" t="str">
        <x:v>Cedarworks</x:v>
      </x:c>
      <x:c r="E226" t="str">
        <x:v>benjamin.anderson418@northmail.com</x:v>
      </x:c>
      <x:c r="F226" t="str">
        <x:v>(980) 521-3025</x:v>
      </x:c>
      <x:c r="G226" t="str">
        <x:v>OH</x:v>
      </x:c>
      <x:c r="H226" t="str">
        <x:v>Outbound</x:v>
      </x:c>
      <x:c r="I226" t="str">
        <x:v>New</x:v>
      </x:c>
      <x:c r="J226" t="str">
        <x:v>Taylor Morgan</x:v>
      </x:c>
      <x:c r="K226" s="6" t="n">
        <x:v>46156</x:v>
      </x:c>
      <x:c r="L226" s="6" t="n">
        <x:v>46204</x:v>
      </x:c>
      <x:c r="M226" s="6" t="n">
        <x:v>46220</x:v>
      </x:c>
      <x:c r="N226" s="8" t="n">
        <x:v>20200</x:v>
      </x:c>
      <x:c r="O226" t="str">
        <x:v>Logistics</x:v>
      </x:c>
      <x:c r="P226" t="str">
        <x:v>No</x:v>
      </x:c>
      <x:c r="Q226" t="str">
        <x:v>No</x:v>
      </x:c>
      <x:c r="R226" s="6"/>
      <x:c r="S226" t="str">
        <x:f>IF(E226="","Unique",IF(COUNTIF($E$2:E226,E226)&gt;1,"Duplicate","Unique"))</x:f>
        <x:v>Unique</x:v>
      </x:c>
      <x:c r="T226" t="str">
        <x:f>IF(J226="Unassigned","Yes","No")</x:f>
        <x:v>No</x:v>
      </x:c>
      <x:c r="U226" t="str">
        <x:f>IF(AND(E226="",F226=""),"Yes","No")</x:f>
        <x:v>No</x:v>
      </x:c>
      <x:c r="V226" t="str">
        <x:f>IF(AND('Dashboard'!$B$2-L226&gt;30,I226&lt;&gt;"Closed Won",I226&lt;&gt;"Closed Lost"),"Yes","No")</x:f>
        <x:v>Yes</x:v>
      </x:c>
      <x:c r="W226" t="str">
        <x:f>IF(AND(M226&lt;&gt;"",M226&lt;'Dashboard'!$B$2,I226&lt;&gt;"Closed Won",I226&lt;&gt;"Closed Lost"),"Yes","No")</x:f>
        <x:v>Yes</x:v>
      </x:c>
      <x:c r="X226" t="str">
        <x:f>IF(OR(S226="Duplicate",T226="Yes",U226="Yes",D226="Unknown",W226="Yes"),"Yes","No")</x:f>
        <x:v>Yes</x:v>
      </x:c>
      <x:c r="Y226" t="n">
        <x:f>IF(S226="Duplicate",0,1)</x:f>
        <x:v>1</x:v>
      </x:c>
    </x:row>
    <x:row r="227">
      <x:c r="A227" t="str">
        <x:v>L-0226</x:v>
      </x:c>
      <x:c r="B227" t="str">
        <x:v>Lucas</x:v>
      </x:c>
      <x:c r="C227" t="str">
        <x:v>Taylor</x:v>
      </x:c>
      <x:c r="D227" t="str">
        <x:v>Apex Manufacturing</x:v>
      </x:c>
      <x:c r="E227" t="str">
        <x:v>lucas.taylor536@northmail.com</x:v>
      </x:c>
      <x:c r="F227" t="str">
        <x:v>(323) 346-7468</x:v>
      </x:c>
      <x:c r="G227" t="str">
        <x:v>NC</x:v>
      </x:c>
      <x:c r="H227" t="str">
        <x:v>Outbound</x:v>
      </x:c>
      <x:c r="I227" t="str">
        <x:v>Contacted</x:v>
      </x:c>
      <x:c r="J227" t="str">
        <x:v>Morgan Reed</x:v>
      </x:c>
      <x:c r="K227" s="6" t="n">
        <x:v>46243</x:v>
      </x:c>
      <x:c r="L227" s="6" t="n">
        <x:v>46250</x:v>
      </x:c>
      <x:c r="M227" s="6" t="n">
        <x:v>46274</x:v>
      </x:c>
      <x:c r="N227" s="8" t="n">
        <x:v>11200</x:v>
      </x:c>
      <x:c r="O227" t="str">
        <x:v>Technology</x:v>
      </x:c>
      <x:c r="P227" t="str">
        <x:v>No</x:v>
      </x:c>
      <x:c r="Q227" t="str">
        <x:v>No</x:v>
      </x:c>
      <x:c r="R227" s="6"/>
      <x:c r="S227" t="str">
        <x:f>IF(E227="","Unique",IF(COUNTIF($E$2:E227,E227)&gt;1,"Duplicate","Unique"))</x:f>
        <x:v>Unique</x:v>
      </x:c>
      <x:c r="T227" t="str">
        <x:f>IF(J227="Unassigned","Yes","No")</x:f>
        <x:v>No</x:v>
      </x:c>
      <x:c r="U227" t="str">
        <x:f>IF(AND(E227="",F227=""),"Yes","No")</x:f>
        <x:v>No</x:v>
      </x:c>
      <x:c r="V227" t="str">
        <x:f>IF(AND('Dashboard'!$B$2-L227&gt;30,I227&lt;&gt;"Closed Won",I227&lt;&gt;"Closed Lost"),"Yes","No")</x:f>
        <x:v>No</x:v>
      </x:c>
      <x:c r="W227" t="str">
        <x:f>IF(AND(M227&lt;&gt;"",M227&lt;'Dashboard'!$B$2,I227&lt;&gt;"Closed Won",I227&lt;&gt;"Closed Lost"),"Yes","No")</x:f>
        <x:v>No</x:v>
      </x:c>
      <x:c r="X227" t="str">
        <x:f>IF(OR(S227="Duplicate",T227="Yes",U227="Yes",D227="Unknown",W227="Yes"),"Yes","No")</x:f>
        <x:v>No</x:v>
      </x:c>
      <x:c r="Y227" t="n">
        <x:f>IF(S227="Duplicate",0,1)</x:f>
        <x:v>1</x:v>
      </x:c>
    </x:row>
    <x:row r="228">
      <x:c r="A228" t="str">
        <x:v>L-0227</x:v>
      </x:c>
      <x:c r="B228" t="str">
        <x:v>Luna</x:v>
      </x:c>
      <x:c r="C228" t="str">
        <x:v>Perez</x:v>
      </x:c>
      <x:c r="D228" t="str">
        <x:v>Horizon Bio</x:v>
      </x:c>
      <x:c r="E228" t="str"/>
      <x:c r="F228" t="str">
        <x:v>(457) 701-9147</x:v>
      </x:c>
      <x:c r="G228" t="str">
        <x:v>IL</x:v>
      </x:c>
      <x:c r="H228" t="str">
        <x:v>Webinar</x:v>
      </x:c>
      <x:c r="I228" t="str">
        <x:v>Opportunity</x:v>
      </x:c>
      <x:c r="J228" t="str">
        <x:v>Morgan Reed</x:v>
      </x:c>
      <x:c r="K228" s="6" t="n">
        <x:v>46143</x:v>
      </x:c>
      <x:c r="L228" s="6" t="n">
        <x:v>46205</x:v>
      </x:c>
      <x:c r="M228" s="6" t="n">
        <x:v>46224</x:v>
      </x:c>
      <x:c r="N228" s="8" t="n">
        <x:v>25500</x:v>
      </x:c>
      <x:c r="O228" t="str">
        <x:v>Professional Services</x:v>
      </x:c>
      <x:c r="P228" t="str">
        <x:v>Yes</x:v>
      </x:c>
      <x:c r="Q228" t="str">
        <x:v>No</x:v>
      </x:c>
      <x:c r="R228" s="6"/>
      <x:c r="S228" t="str">
        <x:f>IF(E228="","Unique",IF(COUNTIF($E$2:E228,E228)&gt;1,"Duplicate","Unique"))</x:f>
        <x:v>Unique</x:v>
      </x:c>
      <x:c r="T228" t="str">
        <x:f>IF(J228="Unassigned","Yes","No")</x:f>
        <x:v>No</x:v>
      </x:c>
      <x:c r="U228" t="str">
        <x:f>IF(AND(E228="",F228=""),"Yes","No")</x:f>
        <x:v>No</x:v>
      </x:c>
      <x:c r="V228" t="str">
        <x:f>IF(AND('Dashboard'!$B$2-L228&gt;30,I228&lt;&gt;"Closed Won",I228&lt;&gt;"Closed Lost"),"Yes","No")</x:f>
        <x:v>Yes</x:v>
      </x:c>
      <x:c r="W228" t="str">
        <x:f>IF(AND(M228&lt;&gt;"",M228&lt;'Dashboard'!$B$2,I228&lt;&gt;"Closed Won",I228&lt;&gt;"Closed Lost"),"Yes","No")</x:f>
        <x:v>Yes</x:v>
      </x:c>
      <x:c r="X228" t="str">
        <x:f>IF(OR(S228="Duplicate",T228="Yes",U228="Yes",D228="Unknown",W228="Yes"),"Yes","No")</x:f>
        <x:v>Yes</x:v>
      </x:c>
      <x:c r="Y228" t="n">
        <x:f>IF(S228="Duplicate",0,1)</x:f>
        <x:v>1</x:v>
      </x:c>
    </x:row>
    <x:row r="229">
      <x:c r="A229" t="str">
        <x:v>L-0228</x:v>
      </x:c>
      <x:c r="B229" t="str">
        <x:v>Mia</x:v>
      </x:c>
      <x:c r="C229" t="str">
        <x:v>Martin</x:v>
      </x:c>
      <x:c r="D229" t="str">
        <x:v>Atlas Commerce</x:v>
      </x:c>
      <x:c r="E229" t="str">
        <x:v>mia.thompson668@examplebiz.com</x:v>
      </x:c>
      <x:c r="F229" t="str">
        <x:v>(983) 232-8051</x:v>
      </x:c>
      <x:c r="G229" t="str">
        <x:v>FL</x:v>
      </x:c>
      <x:c r="H229" t="str">
        <x:v>Referral</x:v>
      </x:c>
      <x:c r="I229" t="str">
        <x:v>Qualified</x:v>
      </x:c>
      <x:c r="J229" t="str">
        <x:v>Alex Kim</x:v>
      </x:c>
      <x:c r="K229" s="6" t="n">
        <x:v>46117</x:v>
      </x:c>
      <x:c r="L229" s="6" t="n">
        <x:v>46183</x:v>
      </x:c>
      <x:c r="M229" s="6" t="n">
        <x:v>46203</x:v>
      </x:c>
      <x:c r="N229" s="8" t="n">
        <x:v>30800</x:v>
      </x:c>
      <x:c r="O229" t="str">
        <x:v>Logistics</x:v>
      </x:c>
      <x:c r="P229" t="str">
        <x:v>Yes</x:v>
      </x:c>
      <x:c r="Q229" t="str">
        <x:v>No</x:v>
      </x:c>
      <x:c r="R229" s="6"/>
      <x:c r="S229" t="str">
        <x:f>IF(E229="","Unique",IF(COUNTIF($E$2:E229,E229)&gt;1,"Duplicate","Unique"))</x:f>
        <x:v>Duplicate</x:v>
      </x:c>
      <x:c r="T229" t="str">
        <x:f>IF(J229="Unassigned","Yes","No")</x:f>
        <x:v>No</x:v>
      </x:c>
      <x:c r="U229" t="str">
        <x:f>IF(AND(E229="",F229=""),"Yes","No")</x:f>
        <x:v>No</x:v>
      </x:c>
      <x:c r="V229" t="str">
        <x:f>IF(AND('Dashboard'!$B$2-L229&gt;30,I229&lt;&gt;"Closed Won",I229&lt;&gt;"Closed Lost"),"Yes","No")</x:f>
        <x:v>Yes</x:v>
      </x:c>
      <x:c r="W229" t="str">
        <x:f>IF(AND(M229&lt;&gt;"",M229&lt;'Dashboard'!$B$2,I229&lt;&gt;"Closed Won",I229&lt;&gt;"Closed Lost"),"Yes","No")</x:f>
        <x:v>Yes</x:v>
      </x:c>
      <x:c r="X229" t="str">
        <x:f>IF(OR(S229="Duplicate",T229="Yes",U229="Yes",D229="Unknown",W229="Yes"),"Yes","No")</x:f>
        <x:v>Yes</x:v>
      </x:c>
      <x:c r="Y229" t="n">
        <x:f>IF(S229="Duplicate",0,1)</x:f>
        <x:v>0</x:v>
      </x:c>
    </x:row>
    <x:row r="230">
      <x:c r="A230" t="str">
        <x:v>L-0229</x:v>
      </x:c>
      <x:c r="B230" t="str">
        <x:v>Benjamin</x:v>
      </x:c>
      <x:c r="C230" t="str">
        <x:v>Brown</x:v>
      </x:c>
      <x:c r="D230" t="str">
        <x:v>Unknown</x:v>
      </x:c>
      <x:c r="E230" t="str">
        <x:v>benjamin.brown632@prospect.co</x:v>
      </x:c>
      <x:c r="F230" t="str">
        <x:v>(985) 491-6250</x:v>
      </x:c>
      <x:c r="G230" t="str">
        <x:v>NC</x:v>
      </x:c>
      <x:c r="H230" t="str">
        <x:v>Trade Show</x:v>
      </x:c>
      <x:c r="I230" t="str">
        <x:v>New</x:v>
      </x:c>
      <x:c r="J230" t="str">
        <x:v>Morgan Reed</x:v>
      </x:c>
      <x:c r="K230" s="6" t="n">
        <x:v>46232</x:v>
      </x:c>
      <x:c r="L230" s="6" t="n">
        <x:v>46244</x:v>
      </x:c>
      <x:c r="M230" s="6" t="n">
        <x:v>46255</x:v>
      </x:c>
      <x:c r="N230" s="8" t="n">
        <x:v>43300</x:v>
      </x:c>
      <x:c r="O230" t="str">
        <x:v>Logistics</x:v>
      </x:c>
      <x:c r="P230" t="str">
        <x:v>No</x:v>
      </x:c>
      <x:c r="Q230" t="str">
        <x:v>No</x:v>
      </x:c>
      <x:c r="R230" s="6"/>
      <x:c r="S230" t="str">
        <x:f>IF(E230="","Unique",IF(COUNTIF($E$2:E230,E230)&gt;1,"Duplicate","Unique"))</x:f>
        <x:v>Unique</x:v>
      </x:c>
      <x:c r="T230" t="str">
        <x:f>IF(J230="Unassigned","Yes","No")</x:f>
        <x:v>No</x:v>
      </x:c>
      <x:c r="U230" t="str">
        <x:f>IF(AND(E230="",F230=""),"Yes","No")</x:f>
        <x:v>No</x:v>
      </x:c>
      <x:c r="V230" t="str">
        <x:f>IF(AND('Dashboard'!$B$2-L230&gt;30,I230&lt;&gt;"Closed Won",I230&lt;&gt;"Closed Lost"),"Yes","No")</x:f>
        <x:v>No</x:v>
      </x:c>
      <x:c r="W230" t="str">
        <x:f>IF(AND(M230&lt;&gt;"",M230&lt;'Dashboard'!$B$2,I230&lt;&gt;"Closed Won",I230&lt;&gt;"Closed Lost"),"Yes","No")</x:f>
        <x:v>No</x:v>
      </x:c>
      <x:c r="X230" t="str">
        <x:f>IF(OR(S230="Duplicate",T230="Yes",U230="Yes",D230="Unknown",W230="Yes"),"Yes","No")</x:f>
        <x:v>Yes</x:v>
      </x:c>
      <x:c r="Y230" t="n">
        <x:f>IF(S230="Duplicate",0,1)</x:f>
        <x:v>1</x:v>
      </x:c>
    </x:row>
    <x:row r="231">
      <x:c r="A231" t="str">
        <x:v>L-0230</x:v>
      </x:c>
      <x:c r="B231" t="str">
        <x:v>Mason</x:v>
      </x:c>
      <x:c r="C231" t="str">
        <x:v>Davis</x:v>
      </x:c>
      <x:c r="D231" t="str">
        <x:v>Clearview Media</x:v>
      </x:c>
      <x:c r="E231" t="str">
        <x:v>mason.davis334@northmail.com</x:v>
      </x:c>
      <x:c r="F231" t="str">
        <x:v>(672) 873-7921</x:v>
      </x:c>
      <x:c r="G231" t="str">
        <x:v>WA</x:v>
      </x:c>
      <x:c r="H231" t="str">
        <x:v>Website</x:v>
      </x:c>
      <x:c r="I231" t="str">
        <x:v>Opportunity</x:v>
      </x:c>
      <x:c r="J231" t="str">
        <x:v>Alex Kim</x:v>
      </x:c>
      <x:c r="K231" s="6" t="n">
        <x:v>46168</x:v>
      </x:c>
      <x:c r="L231" s="6" t="n">
        <x:v>46182</x:v>
      </x:c>
      <x:c r="M231" s="6" t="n">
        <x:v>46195</x:v>
      </x:c>
      <x:c r="N231" s="8" t="n">
        <x:v>16500</x:v>
      </x:c>
      <x:c r="O231" t="str">
        <x:v>Financial Services</x:v>
      </x:c>
      <x:c r="P231" t="str">
        <x:v>Yes</x:v>
      </x:c>
      <x:c r="Q231" t="str">
        <x:v>No</x:v>
      </x:c>
      <x:c r="R231" s="6"/>
      <x:c r="S231" t="str">
        <x:f>IF(E231="","Unique",IF(COUNTIF($E$2:E231,E231)&gt;1,"Duplicate","Unique"))</x:f>
        <x:v>Unique</x:v>
      </x:c>
      <x:c r="T231" t="str">
        <x:f>IF(J231="Unassigned","Yes","No")</x:f>
        <x:v>No</x:v>
      </x:c>
      <x:c r="U231" t="str">
        <x:f>IF(AND(E231="",F231=""),"Yes","No")</x:f>
        <x:v>No</x:v>
      </x:c>
      <x:c r="V231" t="str">
        <x:f>IF(AND('Dashboard'!$B$2-L231&gt;30,I231&lt;&gt;"Closed Won",I231&lt;&gt;"Closed Lost"),"Yes","No")</x:f>
        <x:v>Yes</x:v>
      </x:c>
      <x:c r="W231" t="str">
        <x:f>IF(AND(M231&lt;&gt;"",M231&lt;'Dashboard'!$B$2,I231&lt;&gt;"Closed Won",I231&lt;&gt;"Closed Lost"),"Yes","No")</x:f>
        <x:v>Yes</x:v>
      </x:c>
      <x:c r="X231" t="str">
        <x:f>IF(OR(S231="Duplicate",T231="Yes",U231="Yes",D231="Unknown",W231="Yes"),"Yes","No")</x:f>
        <x:v>Yes</x:v>
      </x:c>
      <x:c r="Y231" t="n">
        <x:f>IF(S231="Duplicate",0,1)</x:f>
        <x:v>1</x:v>
      </x:c>
    </x:row>
    <x:row r="232">
      <x:c r="A232" t="str">
        <x:v>L-0231</x:v>
      </x:c>
      <x:c r="B232" t="str">
        <x:v>Isabella</x:v>
      </x:c>
      <x:c r="C232" t="str">
        <x:v>Garcia</x:v>
      </x:c>
      <x:c r="D232" t="str">
        <x:v>Evergreen Services</x:v>
      </x:c>
      <x:c r="E232" t="str">
        <x:v>isabella.garcia49@prospect.co</x:v>
      </x:c>
      <x:c r="F232" t="str">
        <x:v>788-611-4700</x:v>
      </x:c>
      <x:c r="G232" t="str">
        <x:v>AZ</x:v>
      </x:c>
      <x:c r="H232" t="str">
        <x:v>Website</x:v>
      </x:c>
      <x:c r="I232" t="str">
        <x:v>Opportunity</x:v>
      </x:c>
      <x:c r="J232" t="str">
        <x:v>Casey Patel</x:v>
      </x:c>
      <x:c r="K232" s="6" t="n">
        <x:v>46045</x:v>
      </x:c>
      <x:c r="L232" s="6" t="n">
        <x:v>46064</x:v>
      </x:c>
      <x:c r="M232" s="6" t="n">
        <x:v>46084</x:v>
      </x:c>
      <x:c r="N232" s="8" t="n">
        <x:v>20200</x:v>
      </x:c>
      <x:c r="O232" t="str">
        <x:v>Biotech</x:v>
      </x:c>
      <x:c r="P232" t="str">
        <x:v>Yes</x:v>
      </x:c>
      <x:c r="Q232" t="str">
        <x:v>No</x:v>
      </x:c>
      <x:c r="R232" s="6"/>
      <x:c r="S232" t="str">
        <x:f>IF(E232="","Unique",IF(COUNTIF($E$2:E232,E232)&gt;1,"Duplicate","Unique"))</x:f>
        <x:v>Unique</x:v>
      </x:c>
      <x:c r="T232" t="str">
        <x:f>IF(J232="Unassigned","Yes","No")</x:f>
        <x:v>No</x:v>
      </x:c>
      <x:c r="U232" t="str">
        <x:f>IF(AND(E232="",F232=""),"Yes","No")</x:f>
        <x:v>No</x:v>
      </x:c>
      <x:c r="V232" t="str">
        <x:f>IF(AND('Dashboard'!$B$2-L232&gt;30,I232&lt;&gt;"Closed Won",I232&lt;&gt;"Closed Lost"),"Yes","No")</x:f>
        <x:v>Yes</x:v>
      </x:c>
      <x:c r="W232" t="str">
        <x:f>IF(AND(M232&lt;&gt;"",M232&lt;'Dashboard'!$B$2,I232&lt;&gt;"Closed Won",I232&lt;&gt;"Closed Lost"),"Yes","No")</x:f>
        <x:v>Yes</x:v>
      </x:c>
      <x:c r="X232" t="str">
        <x:f>IF(OR(S232="Duplicate",T232="Yes",U232="Yes",D232="Unknown",W232="Yes"),"Yes","No")</x:f>
        <x:v>Yes</x:v>
      </x:c>
      <x:c r="Y232" t="n">
        <x:f>IF(S232="Duplicate",0,1)</x:f>
        <x:v>1</x:v>
      </x:c>
    </x:row>
    <x:row r="233">
      <x:c r="A233" t="str">
        <x:v>L-0232</x:v>
      </x:c>
      <x:c r="B233" t="str">
        <x:v>James</x:v>
      </x:c>
      <x:c r="C233" t="str">
        <x:v>Lee</x:v>
      </x:c>
      <x:c r="D233" t="str">
        <x:v>Redstone Consulting</x:v>
      </x:c>
      <x:c r="E233" t="str">
        <x:v>james.lee643@examplebiz.com</x:v>
      </x:c>
      <x:c r="F233" t="str">
        <x:v>791-711-4489</x:v>
      </x:c>
      <x:c r="G233" t="str">
        <x:v>AZ</x:v>
      </x:c>
      <x:c r="H233" t="str">
        <x:v>Referral</x:v>
      </x:c>
      <x:c r="I233" t="str">
        <x:v>Opportunity</x:v>
      </x:c>
      <x:c r="J233" t="str">
        <x:v>Jordan Lee</x:v>
      </x:c>
      <x:c r="K233" s="6" t="n">
        <x:v>46130</x:v>
      </x:c>
      <x:c r="L233" s="6" t="n">
        <x:v>46215</x:v>
      </x:c>
      <x:c r="M233" s="6" t="n">
        <x:v>46235</x:v>
      </x:c>
      <x:c r="N233" s="8" t="n">
        <x:v>17400</x:v>
      </x:c>
      <x:c r="O233" t="str">
        <x:v>Retail</x:v>
      </x:c>
      <x:c r="P233" t="str">
        <x:v>Yes</x:v>
      </x:c>
      <x:c r="Q233" t="str">
        <x:v>No</x:v>
      </x:c>
      <x:c r="R233" s="6"/>
      <x:c r="S233" t="str">
        <x:f>IF(E233="","Unique",IF(COUNTIF($E$2:E233,E233)&gt;1,"Duplicate","Unique"))</x:f>
        <x:v>Unique</x:v>
      </x:c>
      <x:c r="T233" t="str">
        <x:f>IF(J233="Unassigned","Yes","No")</x:f>
        <x:v>No</x:v>
      </x:c>
      <x:c r="U233" t="str">
        <x:f>IF(AND(E233="",F233=""),"Yes","No")</x:f>
        <x:v>No</x:v>
      </x:c>
      <x:c r="V233" t="str">
        <x:f>IF(AND('Dashboard'!$B$2-L233&gt;30,I233&lt;&gt;"Closed Won",I233&lt;&gt;"Closed Lost"),"Yes","No")</x:f>
        <x:v>Yes</x:v>
      </x:c>
      <x:c r="W233" t="str">
        <x:f>IF(AND(M233&lt;&gt;"",M233&lt;'Dashboard'!$B$2,I233&lt;&gt;"Closed Won",I233&lt;&gt;"Closed Lost"),"Yes","No")</x:f>
        <x:v>Yes</x:v>
      </x:c>
      <x:c r="X233" t="str">
        <x:f>IF(OR(S233="Duplicate",T233="Yes",U233="Yes",D233="Unknown",W233="Yes"),"Yes","No")</x:f>
        <x:v>Yes</x:v>
      </x:c>
      <x:c r="Y233" t="n">
        <x:f>IF(S233="Duplicate",0,1)</x:f>
        <x:v>1</x:v>
      </x:c>
    </x:row>
    <x:row r="234">
      <x:c r="A234" t="str">
        <x:v>L-0233</x:v>
      </x:c>
      <x:c r="B234" t="str">
        <x:v>Mason</x:v>
      </x:c>
      <x:c r="C234" t="str">
        <x:v>Jones</x:v>
      </x:c>
      <x:c r="D234" t="str">
        <x:v>Evergreen Services</x:v>
      </x:c>
      <x:c r="E234" t="str">
        <x:v>mason.jones274@prospect.co</x:v>
      </x:c>
      <x:c r="F234" t="str">
        <x:v>862-364-5201</x:v>
      </x:c>
      <x:c r="G234" t="str">
        <x:v>AZ</x:v>
      </x:c>
      <x:c r="H234" t="str">
        <x:v>Referral</x:v>
      </x:c>
      <x:c r="I234" t="str">
        <x:v>Closed Won</x:v>
      </x:c>
      <x:c r="J234" t="str">
        <x:v>Morgan Reed</x:v>
      </x:c>
      <x:c r="K234" s="6" t="n">
        <x:v>46230</x:v>
      </x:c>
      <x:c r="L234" s="6" t="n">
        <x:v>46250</x:v>
      </x:c>
      <x:c r="M234" s="6"/>
      <x:c r="N234" s="8" t="n">
        <x:v>19300</x:v>
      </x:c>
      <x:c r="O234" t="str">
        <x:v>Professional Services</x:v>
      </x:c>
      <x:c r="P234" t="str">
        <x:v>Yes</x:v>
      </x:c>
      <x:c r="Q234" t="str">
        <x:v>Yes</x:v>
      </x:c>
      <x:c r="R234" s="6" t="n">
        <x:v>46251</x:v>
      </x:c>
      <x:c r="S234" t="str">
        <x:f>IF(E234="","Unique",IF(COUNTIF($E$2:E234,E234)&gt;1,"Duplicate","Unique"))</x:f>
        <x:v>Unique</x:v>
      </x:c>
      <x:c r="T234" t="str">
        <x:f>IF(J234="Unassigned","Yes","No")</x:f>
        <x:v>No</x:v>
      </x:c>
      <x:c r="U234" t="str">
        <x:f>IF(AND(E234="",F234=""),"Yes","No")</x:f>
        <x:v>No</x:v>
      </x:c>
      <x:c r="V234" t="str">
        <x:f>IF(AND('Dashboard'!$B$2-L234&gt;30,I234&lt;&gt;"Closed Won",I234&lt;&gt;"Closed Lost"),"Yes","No")</x:f>
        <x:v>No</x:v>
      </x:c>
      <x:c r="W234" t="str">
        <x:f>IF(AND(M234&lt;&gt;"",M234&lt;'Dashboard'!$B$2,I234&lt;&gt;"Closed Won",I234&lt;&gt;"Closed Lost"),"Yes","No")</x:f>
        <x:v>No</x:v>
      </x:c>
      <x:c r="X234" t="str">
        <x:f>IF(OR(S234="Duplicate",T234="Yes",U234="Yes",D234="Unknown",W234="Yes"),"Yes","No")</x:f>
        <x:v>No</x:v>
      </x:c>
      <x:c r="Y234" t="n">
        <x:f>IF(S234="Duplicate",0,1)</x:f>
        <x:v>1</x:v>
      </x:c>
    </x:row>
    <x:row r="235">
      <x:c r="A235" t="str">
        <x:v>L-0234</x:v>
      </x:c>
      <x:c r="B235" t="str">
        <x:v>Sophia</x:v>
      </x:c>
      <x:c r="C235" t="str">
        <x:v>Rodriguez</x:v>
      </x:c>
      <x:c r="D235" t="str">
        <x:v>Cedarworks</x:v>
      </x:c>
      <x:c r="E235" t="str">
        <x:v>sophia.rodriguez923@mailhub.net</x:v>
      </x:c>
      <x:c r="F235" t="str">
        <x:v>(573) 887-2479</x:v>
      </x:c>
      <x:c r="G235" t="str">
        <x:v>PA</x:v>
      </x:c>
      <x:c r="H235" t="str">
        <x:v>Webinar</x:v>
      </x:c>
      <x:c r="I235" t="str">
        <x:v>New</x:v>
      </x:c>
      <x:c r="J235" t="str">
        <x:v>Jordan Lee</x:v>
      </x:c>
      <x:c r="K235" s="6" t="n">
        <x:v>46225</x:v>
      </x:c>
      <x:c r="L235" s="6" t="n">
        <x:v>46235</x:v>
      </x:c>
      <x:c r="M235" s="6" t="n">
        <x:v>46257</x:v>
      </x:c>
      <x:c r="N235" s="8" t="n">
        <x:v>27100</x:v>
      </x:c>
      <x:c r="O235" t="str">
        <x:v>Healthcare</x:v>
      </x:c>
      <x:c r="P235" t="str">
        <x:v>No</x:v>
      </x:c>
      <x:c r="Q235" t="str">
        <x:v>No</x:v>
      </x:c>
      <x:c r="R235" s="6"/>
      <x:c r="S235" t="str">
        <x:f>IF(E235="","Unique",IF(COUNTIF($E$2:E235,E235)&gt;1,"Duplicate","Unique"))</x:f>
        <x:v>Unique</x:v>
      </x:c>
      <x:c r="T235" t="str">
        <x:f>IF(J235="Unassigned","Yes","No")</x:f>
        <x:v>No</x:v>
      </x:c>
      <x:c r="U235" t="str">
        <x:f>IF(AND(E235="",F235=""),"Yes","No")</x:f>
        <x:v>No</x:v>
      </x:c>
      <x:c r="V235" t="str">
        <x:f>IF(AND('Dashboard'!$B$2-L235&gt;30,I235&lt;&gt;"Closed Won",I235&lt;&gt;"Closed Lost"),"Yes","No")</x:f>
        <x:v>No</x:v>
      </x:c>
      <x:c r="W235" t="str">
        <x:f>IF(AND(M235&lt;&gt;"",M235&lt;'Dashboard'!$B$2,I235&lt;&gt;"Closed Won",I235&lt;&gt;"Closed Lost"),"Yes","No")</x:f>
        <x:v>No</x:v>
      </x:c>
      <x:c r="X235" t="str">
        <x:f>IF(OR(S235="Duplicate",T235="Yes",U235="Yes",D235="Unknown",W235="Yes"),"Yes","No")</x:f>
        <x:v>No</x:v>
      </x:c>
      <x:c r="Y235" t="n">
        <x:f>IF(S235="Duplicate",0,1)</x:f>
        <x:v>1</x:v>
      </x:c>
    </x:row>
    <x:row r="236">
      <x:c r="A236" t="str">
        <x:v>L-0235</x:v>
      </x:c>
      <x:c r="B236" t="str">
        <x:v>Noah</x:v>
      </x:c>
      <x:c r="C236" t="str">
        <x:v>Wilson</x:v>
      </x:c>
      <x:c r="D236" t="str">
        <x:v>Redstone Consulting</x:v>
      </x:c>
      <x:c r="E236" t="str">
        <x:v>noah.wilson994@prospect.co</x:v>
      </x:c>
      <x:c r="F236" t="str">
        <x:v>(651) 618-5166</x:v>
      </x:c>
      <x:c r="G236" t="str">
        <x:v>PA</x:v>
      </x:c>
      <x:c r="H236" t="str">
        <x:v>LinkedIn</x:v>
      </x:c>
      <x:c r="I236" t="str">
        <x:v>Closed Lost</x:v>
      </x:c>
      <x:c r="J236" t="str">
        <x:v>Unassigned</x:v>
      </x:c>
      <x:c r="K236" s="6" t="n">
        <x:v>46191</x:v>
      </x:c>
      <x:c r="L236" s="6" t="n">
        <x:v>46200</x:v>
      </x:c>
      <x:c r="M236" s="6"/>
      <x:c r="N236" s="8" t="n">
        <x:v>11300</x:v>
      </x:c>
      <x:c r="O236" t="str">
        <x:v>Professional Services</x:v>
      </x:c>
      <x:c r="P236" t="str">
        <x:v>Yes</x:v>
      </x:c>
      <x:c r="Q236" t="str">
        <x:v>No</x:v>
      </x:c>
      <x:c r="R236" s="6" t="n">
        <x:v>46207</x:v>
      </x:c>
      <x:c r="S236" t="str">
        <x:f>IF(E236="","Unique",IF(COUNTIF($E$2:E236,E236)&gt;1,"Duplicate","Unique"))</x:f>
        <x:v>Unique</x:v>
      </x:c>
      <x:c r="T236" t="str">
        <x:f>IF(J236="Unassigned","Yes","No")</x:f>
        <x:v>Yes</x:v>
      </x:c>
      <x:c r="U236" t="str">
        <x:f>IF(AND(E236="",F236=""),"Yes","No")</x:f>
        <x:v>No</x:v>
      </x:c>
      <x:c r="V236" t="str">
        <x:f>IF(AND('Dashboard'!$B$2-L236&gt;30,I236&lt;&gt;"Closed Won",I236&lt;&gt;"Closed Lost"),"Yes","No")</x:f>
        <x:v>No</x:v>
      </x:c>
      <x:c r="W236" t="str">
        <x:f>IF(AND(M236&lt;&gt;"",M236&lt;'Dashboard'!$B$2,I236&lt;&gt;"Closed Won",I236&lt;&gt;"Closed Lost"),"Yes","No")</x:f>
        <x:v>No</x:v>
      </x:c>
      <x:c r="X236" t="str">
        <x:f>IF(OR(S236="Duplicate",T236="Yes",U236="Yes",D236="Unknown",W236="Yes"),"Yes","No")</x:f>
        <x:v>Yes</x:v>
      </x:c>
      <x:c r="Y236" t="n">
        <x:f>IF(S236="Duplicate",0,1)</x:f>
        <x:v>1</x:v>
      </x:c>
    </x:row>
    <x:row r="237">
      <x:c r="A237" t="str">
        <x:v>L-0236</x:v>
      </x:c>
      <x:c r="B237" t="str">
        <x:v>Ava</x:v>
      </x:c>
      <x:c r="C237" t="str">
        <x:v>Thompson</x:v>
      </x:c>
      <x:c r="D237" t="str">
        <x:v>Peakline Systems</x:v>
      </x:c>
      <x:c r="E237" t="str">
        <x:v>ava.thompson372@northmail.com</x:v>
      </x:c>
      <x:c r="F237" t="str">
        <x:v>(748) 442-8248</x:v>
      </x:c>
      <x:c r="G237" t="str">
        <x:v>PA</x:v>
      </x:c>
      <x:c r="H237" t="str">
        <x:v>Outbound</x:v>
      </x:c>
      <x:c r="I237" t="str">
        <x:v>Opportunity</x:v>
      </x:c>
      <x:c r="J237" t="str">
        <x:v>Jamie Brooks</x:v>
      </x:c>
      <x:c r="K237" s="6" t="n">
        <x:v>46182</x:v>
      </x:c>
      <x:c r="L237" s="6" t="n">
        <x:v>46231</x:v>
      </x:c>
      <x:c r="M237" s="6" t="n">
        <x:v>46243</x:v>
      </x:c>
      <x:c r="N237" s="8" t="n">
        <x:v>55200</x:v>
      </x:c>
      <x:c r="O237" t="str">
        <x:v>Healthcare</x:v>
      </x:c>
      <x:c r="P237" t="str">
        <x:v>Yes</x:v>
      </x:c>
      <x:c r="Q237" t="str">
        <x:v>No</x:v>
      </x:c>
      <x:c r="R237" s="6"/>
      <x:c r="S237" t="str">
        <x:f>IF(E237="","Unique",IF(COUNTIF($E$2:E237,E237)&gt;1,"Duplicate","Unique"))</x:f>
        <x:v>Unique</x:v>
      </x:c>
      <x:c r="T237" t="str">
        <x:f>IF(J237="Unassigned","Yes","No")</x:f>
        <x:v>No</x:v>
      </x:c>
      <x:c r="U237" t="str">
        <x:f>IF(AND(E237="",F237=""),"Yes","No")</x:f>
        <x:v>No</x:v>
      </x:c>
      <x:c r="V237" t="str">
        <x:f>IF(AND('Dashboard'!$B$2-L237&gt;30,I237&lt;&gt;"Closed Won",I237&lt;&gt;"Closed Lost"),"Yes","No")</x:f>
        <x:v>No</x:v>
      </x:c>
      <x:c r="W237" t="str">
        <x:f>IF(AND(M237&lt;&gt;"",M237&lt;'Dashboard'!$B$2,I237&lt;&gt;"Closed Won",I237&lt;&gt;"Closed Lost"),"Yes","No")</x:f>
        <x:v>Yes</x:v>
      </x:c>
      <x:c r="X237" t="str">
        <x:f>IF(OR(S237="Duplicate",T237="Yes",U237="Yes",D237="Unknown",W237="Yes"),"Yes","No")</x:f>
        <x:v>Yes</x:v>
      </x:c>
      <x:c r="Y237" t="n">
        <x:f>IF(S237="Duplicate",0,1)</x:f>
        <x:v>1</x:v>
      </x:c>
    </x:row>
    <x:row r="238">
      <x:c r="A238" t="str">
        <x:v>L-0237</x:v>
      </x:c>
      <x:c r="B238" t="str">
        <x:v>Liam</x:v>
      </x:c>
      <x:c r="C238" t="str">
        <x:v>Rodriguez</x:v>
      </x:c>
      <x:c r="D238" t="str">
        <x:v>Unknown</x:v>
      </x:c>
      <x:c r="E238" t="str">
        <x:v>liam.rodriguez845@examplebiz.com</x:v>
      </x:c>
      <x:c r="F238" t="str">
        <x:v>(916) 467-9295</x:v>
      </x:c>
      <x:c r="G238" t="str">
        <x:v>NC</x:v>
      </x:c>
      <x:c r="H238" t="str">
        <x:v>LinkedIn</x:v>
      </x:c>
      <x:c r="I238" t="str">
        <x:v>Closed Lost</x:v>
      </x:c>
      <x:c r="J238" t="str">
        <x:v>Jordan Lee</x:v>
      </x:c>
      <x:c r="K238" s="6" t="n">
        <x:v>46161</x:v>
      </x:c>
      <x:c r="L238" s="6" t="n">
        <x:v>46215</x:v>
      </x:c>
      <x:c r="M238" s="6"/>
      <x:c r="N238" s="8" t="n">
        <x:v>74800</x:v>
      </x:c>
      <x:c r="O238" t="str">
        <x:v>Logistics</x:v>
      </x:c>
      <x:c r="P238" t="str">
        <x:v>Yes</x:v>
      </x:c>
      <x:c r="Q238" t="str">
        <x:v>No</x:v>
      </x:c>
      <x:c r="R238" s="6" t="n">
        <x:v>46215</x:v>
      </x:c>
      <x:c r="S238" t="str">
        <x:f>IF(E238="","Unique",IF(COUNTIF($E$2:E238,E238)&gt;1,"Duplicate","Unique"))</x:f>
        <x:v>Unique</x:v>
      </x:c>
      <x:c r="T238" t="str">
        <x:f>IF(J238="Unassigned","Yes","No")</x:f>
        <x:v>No</x:v>
      </x:c>
      <x:c r="U238" t="str">
        <x:f>IF(AND(E238="",F238=""),"Yes","No")</x:f>
        <x:v>No</x:v>
      </x:c>
      <x:c r="V238" t="str">
        <x:f>IF(AND('Dashboard'!$B$2-L238&gt;30,I238&lt;&gt;"Closed Won",I238&lt;&gt;"Closed Lost"),"Yes","No")</x:f>
        <x:v>No</x:v>
      </x:c>
      <x:c r="W238" t="str">
        <x:f>IF(AND(M238&lt;&gt;"",M238&lt;'Dashboard'!$B$2,I238&lt;&gt;"Closed Won",I238&lt;&gt;"Closed Lost"),"Yes","No")</x:f>
        <x:v>No</x:v>
      </x:c>
      <x:c r="X238" t="str">
        <x:f>IF(OR(S238="Duplicate",T238="Yes",U238="Yes",D238="Unknown",W238="Yes"),"Yes","No")</x:f>
        <x:v>Yes</x:v>
      </x:c>
      <x:c r="Y238" t="n">
        <x:f>IF(S238="Duplicate",0,1)</x:f>
        <x:v>1</x:v>
      </x:c>
    </x:row>
    <x:row r="239">
      <x:c r="A239" t="str">
        <x:v>L-0238</x:v>
      </x:c>
      <x:c r="B239" t="str">
        <x:v>Lucas</x:v>
      </x:c>
      <x:c r="C239" t="str">
        <x:v>Wilson</x:v>
      </x:c>
      <x:c r="D239" t="str">
        <x:v>Brightpath Health</x:v>
      </x:c>
      <x:c r="E239" t="str">
        <x:v>lucas.wilson421@prospect.co</x:v>
      </x:c>
      <x:c r="F239" t="str">
        <x:v>(663) 689-3187</x:v>
      </x:c>
      <x:c r="G239" t="str">
        <x:v>CA</x:v>
      </x:c>
      <x:c r="H239" t="str">
        <x:v>Referral</x:v>
      </x:c>
      <x:c r="I239" t="str">
        <x:v>Opportunity</x:v>
      </x:c>
      <x:c r="J239" t="str">
        <x:v>Jamie Brooks</x:v>
      </x:c>
      <x:c r="K239" s="6" t="n">
        <x:v>46050</x:v>
      </x:c>
      <x:c r="L239" s="6" t="n">
        <x:v>46216</x:v>
      </x:c>
      <x:c r="M239" s="6" t="n">
        <x:v>46223</x:v>
      </x:c>
      <x:c r="N239" s="8" t="n">
        <x:v>72400</x:v>
      </x:c>
      <x:c r="O239" t="str">
        <x:v>Technology</x:v>
      </x:c>
      <x:c r="P239" t="str">
        <x:v>Yes</x:v>
      </x:c>
      <x:c r="Q239" t="str">
        <x:v>No</x:v>
      </x:c>
      <x:c r="R239" s="6"/>
      <x:c r="S239" t="str">
        <x:f>IF(E239="","Unique",IF(COUNTIF($E$2:E239,E239)&gt;1,"Duplicate","Unique"))</x:f>
        <x:v>Unique</x:v>
      </x:c>
      <x:c r="T239" t="str">
        <x:f>IF(J239="Unassigned","Yes","No")</x:f>
        <x:v>No</x:v>
      </x:c>
      <x:c r="U239" t="str">
        <x:f>IF(AND(E239="",F239=""),"Yes","No")</x:f>
        <x:v>No</x:v>
      </x:c>
      <x:c r="V239" t="str">
        <x:f>IF(AND('Dashboard'!$B$2-L239&gt;30,I239&lt;&gt;"Closed Won",I239&lt;&gt;"Closed Lost"),"Yes","No")</x:f>
        <x:v>Yes</x:v>
      </x:c>
      <x:c r="W239" t="str">
        <x:f>IF(AND(M239&lt;&gt;"",M239&lt;'Dashboard'!$B$2,I239&lt;&gt;"Closed Won",I239&lt;&gt;"Closed Lost"),"Yes","No")</x:f>
        <x:v>Yes</x:v>
      </x:c>
      <x:c r="X239" t="str">
        <x:f>IF(OR(S239="Duplicate",T239="Yes",U239="Yes",D239="Unknown",W239="Yes"),"Yes","No")</x:f>
        <x:v>Yes</x:v>
      </x:c>
      <x:c r="Y239" t="n">
        <x:f>IF(S239="Duplicate",0,1)</x:f>
        <x:v>1</x:v>
      </x:c>
    </x:row>
    <x:row r="240">
      <x:c r="A240" t="str">
        <x:v>L-0239</x:v>
      </x:c>
      <x:c r="B240" t="str">
        <x:v>Mason</x:v>
      </x:c>
      <x:c r="C240" t="str">
        <x:v>Williams</x:v>
      </x:c>
      <x:c r="D240" t="str">
        <x:v>Unknown</x:v>
      </x:c>
      <x:c r="E240" t="str">
        <x:v>mason.williams92@prospect.co</x:v>
      </x:c>
      <x:c r="F240" t="str">
        <x:v>(375) 780-2922</x:v>
      </x:c>
      <x:c r="G240" t="str">
        <x:v>NY</x:v>
      </x:c>
      <x:c r="H240" t="str">
        <x:v>LinkedIn</x:v>
      </x:c>
      <x:c r="I240" t="str">
        <x:v>New</x:v>
      </x:c>
      <x:c r="J240" t="str">
        <x:v>Taylor Morgan</x:v>
      </x:c>
      <x:c r="K240" s="6" t="n">
        <x:v>46144</x:v>
      </x:c>
      <x:c r="L240" s="6" t="n">
        <x:v>46223</x:v>
      </x:c>
      <x:c r="M240" s="6" t="n">
        <x:v>46239</x:v>
      </x:c>
      <x:c r="N240" s="8" t="n">
        <x:v>52000</x:v>
      </x:c>
      <x:c r="O240" t="str">
        <x:v>Retail</x:v>
      </x:c>
      <x:c r="P240" t="str">
        <x:v>No</x:v>
      </x:c>
      <x:c r="Q240" t="str">
        <x:v>No</x:v>
      </x:c>
      <x:c r="R240" s="6"/>
      <x:c r="S240" t="str">
        <x:f>IF(E240="","Unique",IF(COUNTIF($E$2:E240,E240)&gt;1,"Duplicate","Unique"))</x:f>
        <x:v>Unique</x:v>
      </x:c>
      <x:c r="T240" t="str">
        <x:f>IF(J240="Unassigned","Yes","No")</x:f>
        <x:v>No</x:v>
      </x:c>
      <x:c r="U240" t="str">
        <x:f>IF(AND(E240="",F240=""),"Yes","No")</x:f>
        <x:v>No</x:v>
      </x:c>
      <x:c r="V240" t="str">
        <x:f>IF(AND('Dashboard'!$B$2-L240&gt;30,I240&lt;&gt;"Closed Won",I240&lt;&gt;"Closed Lost"),"Yes","No")</x:f>
        <x:v>No</x:v>
      </x:c>
      <x:c r="W240" t="str">
        <x:f>IF(AND(M240&lt;&gt;"",M240&lt;'Dashboard'!$B$2,I240&lt;&gt;"Closed Won",I240&lt;&gt;"Closed Lost"),"Yes","No")</x:f>
        <x:v>Yes</x:v>
      </x:c>
      <x:c r="X240" t="str">
        <x:f>IF(OR(S240="Duplicate",T240="Yes",U240="Yes",D240="Unknown",W240="Yes"),"Yes","No")</x:f>
        <x:v>Yes</x:v>
      </x:c>
      <x:c r="Y240" t="n">
        <x:f>IF(S240="Duplicate",0,1)</x:f>
        <x:v>1</x:v>
      </x:c>
    </x:row>
    <x:row r="241">
      <x:c r="A241" t="str">
        <x:v>L-0240</x:v>
      </x:c>
      <x:c r="B241" t="str">
        <x:v>Amelia</x:v>
      </x:c>
      <x:c r="C241" t="str">
        <x:v>Jones</x:v>
      </x:c>
      <x:c r="D241" t="str">
        <x:v>Vertex Solutions</x:v>
      </x:c>
      <x:c r="E241" t="str">
        <x:v>amelia.jones419@examplebiz.com</x:v>
      </x:c>
      <x:c r="F241" t="str">
        <x:v>(230) 497-5289</x:v>
      </x:c>
      <x:c r="G241" t="str">
        <x:v>WA</x:v>
      </x:c>
      <x:c r="H241" t="str">
        <x:v>Website</x:v>
      </x:c>
      <x:c r="I241" t="str">
        <x:v>Closed Won</x:v>
      </x:c>
      <x:c r="J241" t="str">
        <x:v>Taylor Morgan</x:v>
      </x:c>
      <x:c r="K241" s="6" t="n">
        <x:v>46060</x:v>
      </x:c>
      <x:c r="L241" s="6" t="n">
        <x:v>46233</x:v>
      </x:c>
      <x:c r="M241" s="6"/>
      <x:c r="N241" s="8" t="n">
        <x:v>18100</x:v>
      </x:c>
      <x:c r="O241" t="str">
        <x:v>Retail</x:v>
      </x:c>
      <x:c r="P241" t="str">
        <x:v>Yes</x:v>
      </x:c>
      <x:c r="Q241" t="str">
        <x:v>Yes</x:v>
      </x:c>
      <x:c r="R241" s="6" t="n">
        <x:v>46240</x:v>
      </x:c>
      <x:c r="S241" t="str">
        <x:f>IF(E241="","Unique",IF(COUNTIF($E$2:E241,E241)&gt;1,"Duplicate","Unique"))</x:f>
        <x:v>Unique</x:v>
      </x:c>
      <x:c r="T241" t="str">
        <x:f>IF(J241="Unassigned","Yes","No")</x:f>
        <x:v>No</x:v>
      </x:c>
      <x:c r="U241" t="str">
        <x:f>IF(AND(E241="",F241=""),"Yes","No")</x:f>
        <x:v>No</x:v>
      </x:c>
      <x:c r="V241" t="str">
        <x:f>IF(AND('Dashboard'!$B$2-L241&gt;30,I241&lt;&gt;"Closed Won",I241&lt;&gt;"Closed Lost"),"Yes","No")</x:f>
        <x:v>No</x:v>
      </x:c>
      <x:c r="W241" t="str">
        <x:f>IF(AND(M241&lt;&gt;"",M241&lt;'Dashboard'!$B$2,I241&lt;&gt;"Closed Won",I241&lt;&gt;"Closed Lost"),"Yes","No")</x:f>
        <x:v>No</x:v>
      </x:c>
      <x:c r="X241" t="str">
        <x:f>IF(OR(S241="Duplicate",T241="Yes",U241="Yes",D241="Unknown",W241="Yes"),"Yes","No")</x:f>
        <x:v>No</x:v>
      </x:c>
      <x:c r="Y241" t="n">
        <x:f>IF(S241="Duplicate",0,1)</x:f>
        <x:v>1</x:v>
      </x:c>
    </x:row>
    <x:row r="242">
      <x:c r="A242" t="str">
        <x:v>L-0241</x:v>
      </x:c>
      <x:c r="B242" t="str">
        <x:v>Elijah</x:v>
      </x:c>
      <x:c r="C242" t="str">
        <x:v>Johnson</x:v>
      </x:c>
      <x:c r="D242" t="str">
        <x:v>Peakline Systems</x:v>
      </x:c>
      <x:c r="E242" t="str">
        <x:v>elijah.johnson6@prospect.co</x:v>
      </x:c>
      <x:c r="F242" t="str">
        <x:v>(717) 834-7241</x:v>
      </x:c>
      <x:c r="G242" t="str">
        <x:v>FL</x:v>
      </x:c>
      <x:c r="H242" t="str">
        <x:v>Webinar</x:v>
      </x:c>
      <x:c r="I242" t="str">
        <x:v>Contacted</x:v>
      </x:c>
      <x:c r="J242" t="str">
        <x:v>Jordan Lee</x:v>
      </x:c>
      <x:c r="K242" s="6" t="n">
        <x:v>46091</x:v>
      </x:c>
      <x:c r="L242" s="6" t="n">
        <x:v>46244</x:v>
      </x:c>
      <x:c r="M242" s="6" t="n">
        <x:v>46269</x:v>
      </x:c>
      <x:c r="N242" s="8" t="n">
        <x:v>64200</x:v>
      </x:c>
      <x:c r="O242" t="str">
        <x:v>Biotech</x:v>
      </x:c>
      <x:c r="P242" t="str">
        <x:v>No</x:v>
      </x:c>
      <x:c r="Q242" t="str">
        <x:v>No</x:v>
      </x:c>
      <x:c r="R242" s="6"/>
      <x:c r="S242" t="str">
        <x:f>IF(E242="","Unique",IF(COUNTIF($E$2:E242,E242)&gt;1,"Duplicate","Unique"))</x:f>
        <x:v>Unique</x:v>
      </x:c>
      <x:c r="T242" t="str">
        <x:f>IF(J242="Unassigned","Yes","No")</x:f>
        <x:v>No</x:v>
      </x:c>
      <x:c r="U242" t="str">
        <x:f>IF(AND(E242="",F242=""),"Yes","No")</x:f>
        <x:v>No</x:v>
      </x:c>
      <x:c r="V242" t="str">
        <x:f>IF(AND('Dashboard'!$B$2-L242&gt;30,I242&lt;&gt;"Closed Won",I242&lt;&gt;"Closed Lost"),"Yes","No")</x:f>
        <x:v>No</x:v>
      </x:c>
      <x:c r="W242" t="str">
        <x:f>IF(AND(M242&lt;&gt;"",M242&lt;'Dashboard'!$B$2,I242&lt;&gt;"Closed Won",I242&lt;&gt;"Closed Lost"),"Yes","No")</x:f>
        <x:v>No</x:v>
      </x:c>
      <x:c r="X242" t="str">
        <x:f>IF(OR(S242="Duplicate",T242="Yes",U242="Yes",D242="Unknown",W242="Yes"),"Yes","No")</x:f>
        <x:v>No</x:v>
      </x:c>
      <x:c r="Y242" t="n">
        <x:f>IF(S242="Duplicate",0,1)</x:f>
        <x:v>1</x:v>
      </x:c>
    </x:row>
    <x:row r="243">
      <x:c r="A243" t="str">
        <x:v>L-0242</x:v>
      </x:c>
      <x:c r="B243" t="str">
        <x:v>Noah</x:v>
      </x:c>
      <x:c r="C243" t="str">
        <x:v>Wilson</x:v>
      </x:c>
      <x:c r="D243" t="str">
        <x:v>Peakline Systems</x:v>
      </x:c>
      <x:c r="E243" t="str">
        <x:v>noah.wilson925@prospect.co</x:v>
      </x:c>
      <x:c r="F243" t="str">
        <x:v>(828) 979-5321</x:v>
      </x:c>
      <x:c r="G243" t="str">
        <x:v>NC</x:v>
      </x:c>
      <x:c r="H243" t="str">
        <x:v>Email Campaign</x:v>
      </x:c>
      <x:c r="I243" t="str">
        <x:v>Closed Won</x:v>
      </x:c>
      <x:c r="J243" t="str">
        <x:v>Casey Patel</x:v>
      </x:c>
      <x:c r="K243" s="6" t="n">
        <x:v>46055</x:v>
      </x:c>
      <x:c r="L243" s="6" t="n">
        <x:v>46147</x:v>
      </x:c>
      <x:c r="M243" s="6"/>
      <x:c r="N243" s="8" t="n">
        <x:v>78900</x:v>
      </x:c>
      <x:c r="O243" t="str">
        <x:v>Manufacturing</x:v>
      </x:c>
      <x:c r="P243" t="str">
        <x:v>Yes</x:v>
      </x:c>
      <x:c r="Q243" t="str">
        <x:v>Yes</x:v>
      </x:c>
      <x:c r="R243" s="6" t="n">
        <x:v>46155</x:v>
      </x:c>
      <x:c r="S243" t="str">
        <x:f>IF(E243="","Unique",IF(COUNTIF($E$2:E243,E243)&gt;1,"Duplicate","Unique"))</x:f>
        <x:v>Unique</x:v>
      </x:c>
      <x:c r="T243" t="str">
        <x:f>IF(J243="Unassigned","Yes","No")</x:f>
        <x:v>No</x:v>
      </x:c>
      <x:c r="U243" t="str">
        <x:f>IF(AND(E243="",F243=""),"Yes","No")</x:f>
        <x:v>No</x:v>
      </x:c>
      <x:c r="V243" t="str">
        <x:f>IF(AND('Dashboard'!$B$2-L243&gt;30,I243&lt;&gt;"Closed Won",I243&lt;&gt;"Closed Lost"),"Yes","No")</x:f>
        <x:v>No</x:v>
      </x:c>
      <x:c r="W243" t="str">
        <x:f>IF(AND(M243&lt;&gt;"",M243&lt;'Dashboard'!$B$2,I243&lt;&gt;"Closed Won",I243&lt;&gt;"Closed Lost"),"Yes","No")</x:f>
        <x:v>No</x:v>
      </x:c>
      <x:c r="X243" t="str">
        <x:f>IF(OR(S243="Duplicate",T243="Yes",U243="Yes",D243="Unknown",W243="Yes"),"Yes","No")</x:f>
        <x:v>No</x:v>
      </x:c>
      <x:c r="Y243" t="n">
        <x:f>IF(S243="Duplicate",0,1)</x:f>
        <x:v>1</x:v>
      </x:c>
    </x:row>
    <x:row r="244">
      <x:c r="A244" t="str">
        <x:v>L-0243</x:v>
      </x:c>
      <x:c r="B244" t="str">
        <x:v>Sophia</x:v>
      </x:c>
      <x:c r="C244" t="str">
        <x:v>Garcia</x:v>
      </x:c>
      <x:c r="D244" t="str">
        <x:v>Prairie Health</x:v>
      </x:c>
      <x:c r="E244" t="str">
        <x:v>sophia.garcia575@mailhub.net</x:v>
      </x:c>
      <x:c r="F244" t="str">
        <x:v>(669) 704-2843</x:v>
      </x:c>
      <x:c r="G244" t="str">
        <x:v>TX</x:v>
      </x:c>
      <x:c r="H244" t="str">
        <x:v>Outbound</x:v>
      </x:c>
      <x:c r="I244" t="str">
        <x:v>Closed Lost</x:v>
      </x:c>
      <x:c r="J244" t="str">
        <x:v>Jamie Brooks</x:v>
      </x:c>
      <x:c r="K244" s="6" t="n">
        <x:v>46236</x:v>
      </x:c>
      <x:c r="L244" s="6" t="n">
        <x:v>46250</x:v>
      </x:c>
      <x:c r="M244" s="6"/>
      <x:c r="N244" s="8" t="n">
        <x:v>31900</x:v>
      </x:c>
      <x:c r="O244" t="str">
        <x:v>Professional Services</x:v>
      </x:c>
      <x:c r="P244" t="str">
        <x:v>Yes</x:v>
      </x:c>
      <x:c r="Q244" t="str">
        <x:v>No</x:v>
      </x:c>
      <x:c r="R244" s="6" t="n">
        <x:v>46251</x:v>
      </x:c>
      <x:c r="S244" t="str">
        <x:f>IF(E244="","Unique",IF(COUNTIF($E$2:E244,E244)&gt;1,"Duplicate","Unique"))</x:f>
        <x:v>Unique</x:v>
      </x:c>
      <x:c r="T244" t="str">
        <x:f>IF(J244="Unassigned","Yes","No")</x:f>
        <x:v>No</x:v>
      </x:c>
      <x:c r="U244" t="str">
        <x:f>IF(AND(E244="",F244=""),"Yes","No")</x:f>
        <x:v>No</x:v>
      </x:c>
      <x:c r="V244" t="str">
        <x:f>IF(AND('Dashboard'!$B$2-L244&gt;30,I244&lt;&gt;"Closed Won",I244&lt;&gt;"Closed Lost"),"Yes","No")</x:f>
        <x:v>No</x:v>
      </x:c>
      <x:c r="W244" t="str">
        <x:f>IF(AND(M244&lt;&gt;"",M244&lt;'Dashboard'!$B$2,I244&lt;&gt;"Closed Won",I244&lt;&gt;"Closed Lost"),"Yes","No")</x:f>
        <x:v>No</x:v>
      </x:c>
      <x:c r="X244" t="str">
        <x:f>IF(OR(S244="Duplicate",T244="Yes",U244="Yes",D244="Unknown",W244="Yes"),"Yes","No")</x:f>
        <x:v>No</x:v>
      </x:c>
      <x:c r="Y244" t="n">
        <x:f>IF(S244="Duplicate",0,1)</x:f>
        <x:v>1</x:v>
      </x:c>
    </x:row>
    <x:row r="245">
      <x:c r="A245" t="str">
        <x:v>L-0244</x:v>
      </x:c>
      <x:c r="B245" t="str">
        <x:v>Mia</x:v>
      </x:c>
      <x:c r="C245" t="str">
        <x:v>Davis</x:v>
      </x:c>
      <x:c r="D245" t="str">
        <x:v>Atlas Commerce</x:v>
      </x:c>
      <x:c r="E245" t="str">
        <x:v>mia.davis858@prospect.co</x:v>
      </x:c>
      <x:c r="F245" t="str">
        <x:v>(358) 229-2328</x:v>
      </x:c>
      <x:c r="G245" t="str">
        <x:v>IL</x:v>
      </x:c>
      <x:c r="H245" t="str">
        <x:v>Website</x:v>
      </x:c>
      <x:c r="I245" t="str">
        <x:v>Opportunity</x:v>
      </x:c>
      <x:c r="J245" t="str">
        <x:v>Jordan Lee</x:v>
      </x:c>
      <x:c r="K245" s="6" t="n">
        <x:v>46072</x:v>
      </x:c>
      <x:c r="L245" s="6" t="n">
        <x:v>46103</x:v>
      </x:c>
      <x:c r="M245" s="6" t="n">
        <x:v>46118</x:v>
      </x:c>
      <x:c r="N245" s="8" t="n">
        <x:v>33300</x:v>
      </x:c>
      <x:c r="O245" t="str">
        <x:v>Technology</x:v>
      </x:c>
      <x:c r="P245" t="str">
        <x:v>Yes</x:v>
      </x:c>
      <x:c r="Q245" t="str">
        <x:v>No</x:v>
      </x:c>
      <x:c r="R245" s="6"/>
      <x:c r="S245" t="str">
        <x:f>IF(E245="","Unique",IF(COUNTIF($E$2:E245,E245)&gt;1,"Duplicate","Unique"))</x:f>
        <x:v>Unique</x:v>
      </x:c>
      <x:c r="T245" t="str">
        <x:f>IF(J245="Unassigned","Yes","No")</x:f>
        <x:v>No</x:v>
      </x:c>
      <x:c r="U245" t="str">
        <x:f>IF(AND(E245="",F245=""),"Yes","No")</x:f>
        <x:v>No</x:v>
      </x:c>
      <x:c r="V245" t="str">
        <x:f>IF(AND('Dashboard'!$B$2-L245&gt;30,I245&lt;&gt;"Closed Won",I245&lt;&gt;"Closed Lost"),"Yes","No")</x:f>
        <x:v>Yes</x:v>
      </x:c>
      <x:c r="W245" t="str">
        <x:f>IF(AND(M245&lt;&gt;"",M245&lt;'Dashboard'!$B$2,I245&lt;&gt;"Closed Won",I245&lt;&gt;"Closed Lost"),"Yes","No")</x:f>
        <x:v>Yes</x:v>
      </x:c>
      <x:c r="X245" t="str">
        <x:f>IF(OR(S245="Duplicate",T245="Yes",U245="Yes",D245="Unknown",W245="Yes"),"Yes","No")</x:f>
        <x:v>Yes</x:v>
      </x:c>
      <x:c r="Y245" t="n">
        <x:f>IF(S245="Duplicate",0,1)</x:f>
        <x:v>1</x:v>
      </x:c>
    </x:row>
    <x:row r="246">
      <x:c r="A246" t="str">
        <x:v>L-0245</x:v>
      </x:c>
      <x:c r="B246" t="str">
        <x:v>Lucas</x:v>
      </x:c>
      <x:c r="C246" t="str">
        <x:v>Wilson</x:v>
      </x:c>
      <x:c r="D246" t="str">
        <x:v>Peakline Systems</x:v>
      </x:c>
      <x:c r="E246" t="str">
        <x:v>lucas.wilson92@northmail.com</x:v>
      </x:c>
      <x:c r="F246" t="str">
        <x:v>(414) 366-7365</x:v>
      </x:c>
      <x:c r="G246" t="str">
        <x:v>GA</x:v>
      </x:c>
      <x:c r="H246" t="str">
        <x:v>Outbound</x:v>
      </x:c>
      <x:c r="I246" t="str">
        <x:v>Contacted</x:v>
      </x:c>
      <x:c r="J246" t="str">
        <x:v>Morgan Reed</x:v>
      </x:c>
      <x:c r="K246" s="6" t="n">
        <x:v>46144</x:v>
      </x:c>
      <x:c r="L246" s="6" t="n">
        <x:v>46176</x:v>
      </x:c>
      <x:c r="M246" s="6" t="n">
        <x:v>46184</x:v>
      </x:c>
      <x:c r="N246" s="8" t="n">
        <x:v>22300</x:v>
      </x:c>
      <x:c r="O246" t="str">
        <x:v>Technology</x:v>
      </x:c>
      <x:c r="P246" t="str">
        <x:v>No</x:v>
      </x:c>
      <x:c r="Q246" t="str">
        <x:v>No</x:v>
      </x:c>
      <x:c r="R246" s="6"/>
      <x:c r="S246" t="str">
        <x:f>IF(E246="","Unique",IF(COUNTIF($E$2:E246,E246)&gt;1,"Duplicate","Unique"))</x:f>
        <x:v>Unique</x:v>
      </x:c>
      <x:c r="T246" t="str">
        <x:f>IF(J246="Unassigned","Yes","No")</x:f>
        <x:v>No</x:v>
      </x:c>
      <x:c r="U246" t="str">
        <x:f>IF(AND(E246="",F246=""),"Yes","No")</x:f>
        <x:v>No</x:v>
      </x:c>
      <x:c r="V246" t="str">
        <x:f>IF(AND('Dashboard'!$B$2-L246&gt;30,I246&lt;&gt;"Closed Won",I246&lt;&gt;"Closed Lost"),"Yes","No")</x:f>
        <x:v>Yes</x:v>
      </x:c>
      <x:c r="W246" t="str">
        <x:f>IF(AND(M246&lt;&gt;"",M246&lt;'Dashboard'!$B$2,I246&lt;&gt;"Closed Won",I246&lt;&gt;"Closed Lost"),"Yes","No")</x:f>
        <x:v>Yes</x:v>
      </x:c>
      <x:c r="X246" t="str">
        <x:f>IF(OR(S246="Duplicate",T246="Yes",U246="Yes",D246="Unknown",W246="Yes"),"Yes","No")</x:f>
        <x:v>Yes</x:v>
      </x:c>
      <x:c r="Y246" t="n">
        <x:f>IF(S246="Duplicate",0,1)</x:f>
        <x:v>1</x:v>
      </x:c>
    </x:row>
    <x:row r="247">
      <x:c r="A247" t="str">
        <x:v>L-0246</x:v>
      </x:c>
      <x:c r="B247" t="str">
        <x:v>Benjamin</x:v>
      </x:c>
      <x:c r="C247" t="str">
        <x:v>Moore</x:v>
      </x:c>
      <x:c r="D247" t="str">
        <x:v>Silverline Foods</x:v>
      </x:c>
      <x:c r="E247" t="str">
        <x:v>benjamin.moore646@mailhub.net</x:v>
      </x:c>
      <x:c r="F247" t="str">
        <x:v>(296) 241-9410</x:v>
      </x:c>
      <x:c r="G247" t="str">
        <x:v>NY</x:v>
      </x:c>
      <x:c r="H247" t="str">
        <x:v>Trade Show</x:v>
      </x:c>
      <x:c r="I247" t="str">
        <x:v>Qualified</x:v>
      </x:c>
      <x:c r="J247" t="str">
        <x:v>Morgan Reed</x:v>
      </x:c>
      <x:c r="K247" s="6" t="n">
        <x:v>46053</x:v>
      </x:c>
      <x:c r="L247" s="6" t="n">
        <x:v>46161</x:v>
      </x:c>
      <x:c r="M247" s="6" t="n">
        <x:v>46175</x:v>
      </x:c>
      <x:c r="N247" s="8" t="n">
        <x:v>53100</x:v>
      </x:c>
      <x:c r="O247" t="str">
        <x:v>Logistics</x:v>
      </x:c>
      <x:c r="P247" t="str">
        <x:v>Yes</x:v>
      </x:c>
      <x:c r="Q247" t="str">
        <x:v>No</x:v>
      </x:c>
      <x:c r="R247" s="6"/>
      <x:c r="S247" t="str">
        <x:f>IF(E247="","Unique",IF(COUNTIF($E$2:E247,E247)&gt;1,"Duplicate","Unique"))</x:f>
        <x:v>Unique</x:v>
      </x:c>
      <x:c r="T247" t="str">
        <x:f>IF(J247="Unassigned","Yes","No")</x:f>
        <x:v>No</x:v>
      </x:c>
      <x:c r="U247" t="str">
        <x:f>IF(AND(E247="",F247=""),"Yes","No")</x:f>
        <x:v>No</x:v>
      </x:c>
      <x:c r="V247" t="str">
        <x:f>IF(AND('Dashboard'!$B$2-L247&gt;30,I247&lt;&gt;"Closed Won",I247&lt;&gt;"Closed Lost"),"Yes","No")</x:f>
        <x:v>Yes</x:v>
      </x:c>
      <x:c r="W247" t="str">
        <x:f>IF(AND(M247&lt;&gt;"",M247&lt;'Dashboard'!$B$2,I247&lt;&gt;"Closed Won",I247&lt;&gt;"Closed Lost"),"Yes","No")</x:f>
        <x:v>Yes</x:v>
      </x:c>
      <x:c r="X247" t="str">
        <x:f>IF(OR(S247="Duplicate",T247="Yes",U247="Yes",D247="Unknown",W247="Yes"),"Yes","No")</x:f>
        <x:v>Yes</x:v>
      </x:c>
      <x:c r="Y247" t="n">
        <x:f>IF(S247="Duplicate",0,1)</x:f>
        <x:v>1</x:v>
      </x:c>
    </x:row>
    <x:row r="248">
      <x:c r="A248" t="str">
        <x:v>L-0247</x:v>
      </x:c>
      <x:c r="B248" t="str">
        <x:v>Emma</x:v>
      </x:c>
      <x:c r="C248" t="str">
        <x:v>Martinez</x:v>
      </x:c>
      <x:c r="D248" t="str">
        <x:v>Clearview Media</x:v>
      </x:c>
      <x:c r="E248" t="str">
        <x:v>emma.martinez97@mailhub.net</x:v>
      </x:c>
      <x:c r="F248" t="str"/>
      <x:c r="G248" t="str">
        <x:v>NY</x:v>
      </x:c>
      <x:c r="H248" t="str">
        <x:v>Trade Show</x:v>
      </x:c>
      <x:c r="I248" t="str">
        <x:v>Qualified</x:v>
      </x:c>
      <x:c r="J248" t="str">
        <x:v>Morgan Reed</x:v>
      </x:c>
      <x:c r="K248" s="6" t="n">
        <x:v>46235</x:v>
      </x:c>
      <x:c r="L248" s="6" t="n">
        <x:v>46251</x:v>
      </x:c>
      <x:c r="M248" s="6" t="n">
        <x:v>46257</x:v>
      </x:c>
      <x:c r="N248" s="8" t="n">
        <x:v>44600</x:v>
      </x:c>
      <x:c r="O248" t="str">
        <x:v>Professional Services</x:v>
      </x:c>
      <x:c r="P248" t="str">
        <x:v>Yes</x:v>
      </x:c>
      <x:c r="Q248" t="str">
        <x:v>No</x:v>
      </x:c>
      <x:c r="R248" s="6"/>
      <x:c r="S248" t="str">
        <x:f>IF(E248="","Unique",IF(COUNTIF($E$2:E248,E248)&gt;1,"Duplicate","Unique"))</x:f>
        <x:v>Unique</x:v>
      </x:c>
      <x:c r="T248" t="str">
        <x:f>IF(J248="Unassigned","Yes","No")</x:f>
        <x:v>No</x:v>
      </x:c>
      <x:c r="U248" t="str">
        <x:f>IF(AND(E248="",F248=""),"Yes","No")</x:f>
        <x:v>No</x:v>
      </x:c>
      <x:c r="V248" t="str">
        <x:f>IF(AND('Dashboard'!$B$2-L248&gt;30,I248&lt;&gt;"Closed Won",I248&lt;&gt;"Closed Lost"),"Yes","No")</x:f>
        <x:v>No</x:v>
      </x:c>
      <x:c r="W248" t="str">
        <x:f>IF(AND(M248&lt;&gt;"",M248&lt;'Dashboard'!$B$2,I248&lt;&gt;"Closed Won",I248&lt;&gt;"Closed Lost"),"Yes","No")</x:f>
        <x:v>No</x:v>
      </x:c>
      <x:c r="X248" t="str">
        <x:f>IF(OR(S248="Duplicate",T248="Yes",U248="Yes",D248="Unknown",W248="Yes"),"Yes","No")</x:f>
        <x:v>No</x:v>
      </x:c>
      <x:c r="Y248" t="n">
        <x:f>IF(S248="Duplicate",0,1)</x:f>
        <x:v>1</x:v>
      </x:c>
    </x:row>
    <x:row r="249">
      <x:c r="A249" t="str">
        <x:v>L-0248</x:v>
      </x:c>
      <x:c r="B249" t="str">
        <x:v>Harper</x:v>
      </x:c>
      <x:c r="C249" t="str">
        <x:v>Thompson</x:v>
      </x:c>
      <x:c r="D249" t="str">
        <x:v>Horizon Bio</x:v>
      </x:c>
      <x:c r="E249" t="str">
        <x:v>harper.thompson19@northmail.com</x:v>
      </x:c>
      <x:c r="F249" t="str">
        <x:v>(605) 319-1217</x:v>
      </x:c>
      <x:c r="G249" t="str">
        <x:v>CA</x:v>
      </x:c>
      <x:c r="H249" t="str">
        <x:v>Website</x:v>
      </x:c>
      <x:c r="I249" t="str">
        <x:v>New</x:v>
      </x:c>
      <x:c r="J249" t="str">
        <x:v>Alex Kim</x:v>
      </x:c>
      <x:c r="K249" s="6" t="n">
        <x:v>46092</x:v>
      </x:c>
      <x:c r="L249" s="6" t="n">
        <x:v>46158</x:v>
      </x:c>
      <x:c r="M249" s="6" t="n">
        <x:v>46182</x:v>
      </x:c>
      <x:c r="N249" s="8" t="n">
        <x:v>11300</x:v>
      </x:c>
      <x:c r="O249" t="str">
        <x:v>Biotech</x:v>
      </x:c>
      <x:c r="P249" t="str">
        <x:v>No</x:v>
      </x:c>
      <x:c r="Q249" t="str">
        <x:v>No</x:v>
      </x:c>
      <x:c r="R249" s="6"/>
      <x:c r="S249" t="str">
        <x:f>IF(E249="","Unique",IF(COUNTIF($E$2:E249,E249)&gt;1,"Duplicate","Unique"))</x:f>
        <x:v>Unique</x:v>
      </x:c>
      <x:c r="T249" t="str">
        <x:f>IF(J249="Unassigned","Yes","No")</x:f>
        <x:v>No</x:v>
      </x:c>
      <x:c r="U249" t="str">
        <x:f>IF(AND(E249="",F249=""),"Yes","No")</x:f>
        <x:v>No</x:v>
      </x:c>
      <x:c r="V249" t="str">
        <x:f>IF(AND('Dashboard'!$B$2-L249&gt;30,I249&lt;&gt;"Closed Won",I249&lt;&gt;"Closed Lost"),"Yes","No")</x:f>
        <x:v>Yes</x:v>
      </x:c>
      <x:c r="W249" t="str">
        <x:f>IF(AND(M249&lt;&gt;"",M249&lt;'Dashboard'!$B$2,I249&lt;&gt;"Closed Won",I249&lt;&gt;"Closed Lost"),"Yes","No")</x:f>
        <x:v>Yes</x:v>
      </x:c>
      <x:c r="X249" t="str">
        <x:f>IF(OR(S249="Duplicate",T249="Yes",U249="Yes",D249="Unknown",W249="Yes"),"Yes","No")</x:f>
        <x:v>Yes</x:v>
      </x:c>
      <x:c r="Y249" t="n">
        <x:f>IF(S249="Duplicate",0,1)</x:f>
        <x:v>1</x:v>
      </x:c>
    </x:row>
    <x:row r="250">
      <x:c r="A250" t="str">
        <x:v>L-0249</x:v>
      </x:c>
      <x:c r="B250" t="str">
        <x:v>Emma</x:v>
      </x:c>
      <x:c r="C250" t="str">
        <x:v>Smith</x:v>
      </x:c>
      <x:c r="D250" t="str">
        <x:v>Apex Manufacturing</x:v>
      </x:c>
      <x:c r="E250" t="str">
        <x:v>emma.smith248@mailhub.net</x:v>
      </x:c>
      <x:c r="F250" t="str">
        <x:v>(842) 751-4127</x:v>
      </x:c>
      <x:c r="G250" t="str">
        <x:v>CO</x:v>
      </x:c>
      <x:c r="H250" t="str">
        <x:v>LinkedIn</x:v>
      </x:c>
      <x:c r="I250" t="str">
        <x:v>New</x:v>
      </x:c>
      <x:c r="J250" t="str">
        <x:v>Jamie Brooks</x:v>
      </x:c>
      <x:c r="K250" s="6" t="n">
        <x:v>46240</x:v>
      </x:c>
      <x:c r="L250" s="6" t="n">
        <x:v>46243</x:v>
      </x:c>
      <x:c r="M250" s="6" t="n">
        <x:v>46261</x:v>
      </x:c>
      <x:c r="N250" s="8" t="n">
        <x:v>56000</x:v>
      </x:c>
      <x:c r="O250" t="str">
        <x:v>Technology</x:v>
      </x:c>
      <x:c r="P250" t="str">
        <x:v>No</x:v>
      </x:c>
      <x:c r="Q250" t="str">
        <x:v>No</x:v>
      </x:c>
      <x:c r="R250" s="6"/>
      <x:c r="S250" t="str">
        <x:f>IF(E250="","Unique",IF(COUNTIF($E$2:E250,E250)&gt;1,"Duplicate","Unique"))</x:f>
        <x:v>Unique</x:v>
      </x:c>
      <x:c r="T250" t="str">
        <x:f>IF(J250="Unassigned","Yes","No")</x:f>
        <x:v>No</x:v>
      </x:c>
      <x:c r="U250" t="str">
        <x:f>IF(AND(E250="",F250=""),"Yes","No")</x:f>
        <x:v>No</x:v>
      </x:c>
      <x:c r="V250" t="str">
        <x:f>IF(AND('Dashboard'!$B$2-L250&gt;30,I250&lt;&gt;"Closed Won",I250&lt;&gt;"Closed Lost"),"Yes","No")</x:f>
        <x:v>No</x:v>
      </x:c>
      <x:c r="W250" t="str">
        <x:f>IF(AND(M250&lt;&gt;"",M250&lt;'Dashboard'!$B$2,I250&lt;&gt;"Closed Won",I250&lt;&gt;"Closed Lost"),"Yes","No")</x:f>
        <x:v>No</x:v>
      </x:c>
      <x:c r="X250" t="str">
        <x:f>IF(OR(S250="Duplicate",T250="Yes",U250="Yes",D250="Unknown",W250="Yes"),"Yes","No")</x:f>
        <x:v>No</x:v>
      </x:c>
      <x:c r="Y250" t="n">
        <x:f>IF(S250="Duplicate",0,1)</x:f>
        <x:v>1</x:v>
      </x:c>
    </x:row>
    <x:row r="251">
      <x:c r="A251" t="str">
        <x:v>L-0250</x:v>
      </x:c>
      <x:c r="B251" t="str">
        <x:v>Amelia</x:v>
      </x:c>
      <x:c r="C251" t="str">
        <x:v>Johnson</x:v>
      </x:c>
      <x:c r="D251" t="str">
        <x:v>Redstone Consulting</x:v>
      </x:c>
      <x:c r="E251" t="str">
        <x:v>amelia.johnson749@prospect.co</x:v>
      </x:c>
      <x:c r="F251" t="str">
        <x:v>238-699-7548</x:v>
      </x:c>
      <x:c r="G251" t="str">
        <x:v>TX</x:v>
      </x:c>
      <x:c r="H251" t="str">
        <x:v>LinkedIn</x:v>
      </x:c>
      <x:c r="I251" t="str">
        <x:v>Opportunity</x:v>
      </x:c>
      <x:c r="J251" t="str">
        <x:v>Alex Kim</x:v>
      </x:c>
      <x:c r="K251" s="6" t="n">
        <x:v>46140</x:v>
      </x:c>
      <x:c r="L251" s="6" t="n">
        <x:v>46248</x:v>
      </x:c>
      <x:c r="M251" s="6" t="n">
        <x:v>46266</x:v>
      </x:c>
      <x:c r="N251" s="8" t="n">
        <x:v>63300</x:v>
      </x:c>
      <x:c r="O251" t="str">
        <x:v>Healthcare</x:v>
      </x:c>
      <x:c r="P251" t="str">
        <x:v>Yes</x:v>
      </x:c>
      <x:c r="Q251" t="str">
        <x:v>No</x:v>
      </x:c>
      <x:c r="R251" s="6"/>
      <x:c r="S251" t="str">
        <x:f>IF(E251="","Unique",IF(COUNTIF($E$2:E251,E251)&gt;1,"Duplicate","Unique"))</x:f>
        <x:v>Unique</x:v>
      </x:c>
      <x:c r="T251" t="str">
        <x:f>IF(J251="Unassigned","Yes","No")</x:f>
        <x:v>No</x:v>
      </x:c>
      <x:c r="U251" t="str">
        <x:f>IF(AND(E251="",F251=""),"Yes","No")</x:f>
        <x:v>No</x:v>
      </x:c>
      <x:c r="V251" t="str">
        <x:f>IF(AND('Dashboard'!$B$2-L251&gt;30,I251&lt;&gt;"Closed Won",I251&lt;&gt;"Closed Lost"),"Yes","No")</x:f>
        <x:v>No</x:v>
      </x:c>
      <x:c r="W251" t="str">
        <x:f>IF(AND(M251&lt;&gt;"",M251&lt;'Dashboard'!$B$2,I251&lt;&gt;"Closed Won",I251&lt;&gt;"Closed Lost"),"Yes","No")</x:f>
        <x:v>No</x:v>
      </x:c>
      <x:c r="X251" t="str">
        <x:f>IF(OR(S251="Duplicate",T251="Yes",U251="Yes",D251="Unknown",W251="Yes"),"Yes","No")</x:f>
        <x:v>No</x:v>
      </x:c>
      <x:c r="Y251" t="n">
        <x:f>IF(S251="Duplicate",0,1)</x:f>
        <x:v>1</x:v>
      </x:c>
    </x:row>
    <x:row r="252">
      <x:c r="A252" t="str">
        <x:v>L-0251</x:v>
      </x:c>
      <x:c r="B252" t="str">
        <x:v>Henry</x:v>
      </x:c>
      <x:c r="C252" t="str">
        <x:v>Anderson</x:v>
      </x:c>
      <x:c r="D252" t="str">
        <x:v>Prairie Health</x:v>
      </x:c>
      <x:c r="E252" t="str">
        <x:v>henry.anderson602@prospect.co</x:v>
      </x:c>
      <x:c r="F252" t="str">
        <x:v>(817) 932-8675</x:v>
      </x:c>
      <x:c r="G252" t="str">
        <x:v>CO</x:v>
      </x:c>
      <x:c r="H252" t="str">
        <x:v>Website</x:v>
      </x:c>
      <x:c r="I252" t="str">
        <x:v>Opportunity</x:v>
      </x:c>
      <x:c r="J252" t="str">
        <x:v>Taylor Morgan</x:v>
      </x:c>
      <x:c r="K252" s="6" t="n">
        <x:v>46126</x:v>
      </x:c>
      <x:c r="L252" s="6" t="n">
        <x:v>46170</x:v>
      </x:c>
      <x:c r="M252" s="6" t="n">
        <x:v>46187</x:v>
      </x:c>
      <x:c r="N252" s="8" t="n">
        <x:v>21600</x:v>
      </x:c>
      <x:c r="O252" t="str">
        <x:v>Professional Services</x:v>
      </x:c>
      <x:c r="P252" t="str">
        <x:v>Yes</x:v>
      </x:c>
      <x:c r="Q252" t="str">
        <x:v>No</x:v>
      </x:c>
      <x:c r="R252" s="6"/>
      <x:c r="S252" t="str">
        <x:f>IF(E252="","Unique",IF(COUNTIF($E$2:E252,E252)&gt;1,"Duplicate","Unique"))</x:f>
        <x:v>Unique</x:v>
      </x:c>
      <x:c r="T252" t="str">
        <x:f>IF(J252="Unassigned","Yes","No")</x:f>
        <x:v>No</x:v>
      </x:c>
      <x:c r="U252" t="str">
        <x:f>IF(AND(E252="",F252=""),"Yes","No")</x:f>
        <x:v>No</x:v>
      </x:c>
      <x:c r="V252" t="str">
        <x:f>IF(AND('Dashboard'!$B$2-L252&gt;30,I252&lt;&gt;"Closed Won",I252&lt;&gt;"Closed Lost"),"Yes","No")</x:f>
        <x:v>Yes</x:v>
      </x:c>
      <x:c r="W252" t="str">
        <x:f>IF(AND(M252&lt;&gt;"",M252&lt;'Dashboard'!$B$2,I252&lt;&gt;"Closed Won",I252&lt;&gt;"Closed Lost"),"Yes","No")</x:f>
        <x:v>Yes</x:v>
      </x:c>
      <x:c r="X252" t="str">
        <x:f>IF(OR(S252="Duplicate",T252="Yes",U252="Yes",D252="Unknown",W252="Yes"),"Yes","No")</x:f>
        <x:v>Yes</x:v>
      </x:c>
      <x:c r="Y252" t="n">
        <x:f>IF(S252="Duplicate",0,1)</x:f>
        <x:v>1</x:v>
      </x:c>
    </x:row>
    <x:row r="253">
      <x:c r="A253" t="str">
        <x:v>L-0252</x:v>
      </x:c>
      <x:c r="B253" t="str">
        <x:v>Benjamin</x:v>
      </x:c>
      <x:c r="C253" t="str">
        <x:v>Jones</x:v>
      </x:c>
      <x:c r="D253" t="str">
        <x:v>Cedarworks</x:v>
      </x:c>
      <x:c r="E253" t="str">
        <x:v>benjamin.jones49@northmail.com</x:v>
      </x:c>
      <x:c r="F253" t="str">
        <x:v>(568) 467-6849</x:v>
      </x:c>
      <x:c r="G253" t="str">
        <x:v>CA</x:v>
      </x:c>
      <x:c r="H253" t="str">
        <x:v>Trade Show</x:v>
      </x:c>
      <x:c r="I253" t="str">
        <x:v>New</x:v>
      </x:c>
      <x:c r="J253" t="str">
        <x:v>Alex Kim</x:v>
      </x:c>
      <x:c r="K253" s="6" t="n">
        <x:v>46140</x:v>
      </x:c>
      <x:c r="L253" s="6" t="n">
        <x:v>46203</x:v>
      </x:c>
      <x:c r="M253" s="6" t="n">
        <x:v>46215</x:v>
      </x:c>
      <x:c r="N253" s="8" t="n">
        <x:v>21900</x:v>
      </x:c>
      <x:c r="O253" t="str">
        <x:v>Retail</x:v>
      </x:c>
      <x:c r="P253" t="str">
        <x:v>No</x:v>
      </x:c>
      <x:c r="Q253" t="str">
        <x:v>No</x:v>
      </x:c>
      <x:c r="R253" s="6"/>
      <x:c r="S253" t="str">
        <x:f>IF(E253="","Unique",IF(COUNTIF($E$2:E253,E253)&gt;1,"Duplicate","Unique"))</x:f>
        <x:v>Unique</x:v>
      </x:c>
      <x:c r="T253" t="str">
        <x:f>IF(J253="Unassigned","Yes","No")</x:f>
        <x:v>No</x:v>
      </x:c>
      <x:c r="U253" t="str">
        <x:f>IF(AND(E253="",F253=""),"Yes","No")</x:f>
        <x:v>No</x:v>
      </x:c>
      <x:c r="V253" t="str">
        <x:f>IF(AND('Dashboard'!$B$2-L253&gt;30,I253&lt;&gt;"Closed Won",I253&lt;&gt;"Closed Lost"),"Yes","No")</x:f>
        <x:v>Yes</x:v>
      </x:c>
      <x:c r="W253" t="str">
        <x:f>IF(AND(M253&lt;&gt;"",M253&lt;'Dashboard'!$B$2,I253&lt;&gt;"Closed Won",I253&lt;&gt;"Closed Lost"),"Yes","No")</x:f>
        <x:v>Yes</x:v>
      </x:c>
      <x:c r="X253" t="str">
        <x:f>IF(OR(S253="Duplicate",T253="Yes",U253="Yes",D253="Unknown",W253="Yes"),"Yes","No")</x:f>
        <x:v>Yes</x:v>
      </x:c>
      <x:c r="Y253" t="n">
        <x:f>IF(S253="Duplicate",0,1)</x:f>
        <x:v>1</x:v>
      </x:c>
    </x:row>
    <x:row r="254">
      <x:c r="A254" t="str">
        <x:v>L-0253</x:v>
      </x:c>
      <x:c r="B254" t="str">
        <x:v>Elijah</x:v>
      </x:c>
      <x:c r="C254" t="str">
        <x:v>Rodriguez</x:v>
      </x:c>
      <x:c r="D254" t="str">
        <x:v>Blue Ridge Supply</x:v>
      </x:c>
      <x:c r="E254" t="str">
        <x:v>elijah.rodriguez999@northmail.com</x:v>
      </x:c>
      <x:c r="F254" t="str">
        <x:v>(826) 824-2669</x:v>
      </x:c>
      <x:c r="G254" t="str">
        <x:v>PA</x:v>
      </x:c>
      <x:c r="H254" t="str">
        <x:v>Website</x:v>
      </x:c>
      <x:c r="I254" t="str">
        <x:v>Closed Lost</x:v>
      </x:c>
      <x:c r="J254" t="str">
        <x:v>Unassigned</x:v>
      </x:c>
      <x:c r="K254" s="6" t="n">
        <x:v>46042</x:v>
      </x:c>
      <x:c r="L254" s="6" t="n">
        <x:v>46159</x:v>
      </x:c>
      <x:c r="M254" s="6"/>
      <x:c r="N254" s="8" t="n">
        <x:v>81900</x:v>
      </x:c>
      <x:c r="O254" t="str">
        <x:v>Technology</x:v>
      </x:c>
      <x:c r="P254" t="str">
        <x:v>Yes</x:v>
      </x:c>
      <x:c r="Q254" t="str">
        <x:v>No</x:v>
      </x:c>
      <x:c r="R254" s="6" t="n">
        <x:v>46161</x:v>
      </x:c>
      <x:c r="S254" t="str">
        <x:f>IF(E254="","Unique",IF(COUNTIF($E$2:E254,E254)&gt;1,"Duplicate","Unique"))</x:f>
        <x:v>Unique</x:v>
      </x:c>
      <x:c r="T254" t="str">
        <x:f>IF(J254="Unassigned","Yes","No")</x:f>
        <x:v>Yes</x:v>
      </x:c>
      <x:c r="U254" t="str">
        <x:f>IF(AND(E254="",F254=""),"Yes","No")</x:f>
        <x:v>No</x:v>
      </x:c>
      <x:c r="V254" t="str">
        <x:f>IF(AND('Dashboard'!$B$2-L254&gt;30,I254&lt;&gt;"Closed Won",I254&lt;&gt;"Closed Lost"),"Yes","No")</x:f>
        <x:v>No</x:v>
      </x:c>
      <x:c r="W254" t="str">
        <x:f>IF(AND(M254&lt;&gt;"",M254&lt;'Dashboard'!$B$2,I254&lt;&gt;"Closed Won",I254&lt;&gt;"Closed Lost"),"Yes","No")</x:f>
        <x:v>No</x:v>
      </x:c>
      <x:c r="X254" t="str">
        <x:f>IF(OR(S254="Duplicate",T254="Yes",U254="Yes",D254="Unknown",W254="Yes"),"Yes","No")</x:f>
        <x:v>Yes</x:v>
      </x:c>
      <x:c r="Y254" t="n">
        <x:f>IF(S254="Duplicate",0,1)</x:f>
        <x:v>1</x:v>
      </x:c>
    </x:row>
    <x:row r="255">
      <x:c r="A255" t="str">
        <x:v>L-0254</x:v>
      </x:c>
      <x:c r="B255" t="str">
        <x:v>Isabella</x:v>
      </x:c>
      <x:c r="C255" t="str">
        <x:v>Jones</x:v>
      </x:c>
      <x:c r="D255" t="str">
        <x:v>Summit Analytics</x:v>
      </x:c>
      <x:c r="E255" t="str">
        <x:v>isabella.jones350@prospect.co</x:v>
      </x:c>
      <x:c r="F255" t="str">
        <x:v>(718) 375-2396</x:v>
      </x:c>
      <x:c r="G255" t="str">
        <x:v>NC</x:v>
      </x:c>
      <x:c r="H255" t="str">
        <x:v>Outbound</x:v>
      </x:c>
      <x:c r="I255" t="str">
        <x:v>Closed Won</x:v>
      </x:c>
      <x:c r="J255" t="str">
        <x:v>Morgan Reed</x:v>
      </x:c>
      <x:c r="K255" s="6" t="n">
        <x:v>46245</x:v>
      </x:c>
      <x:c r="L255" s="6" t="n">
        <x:v>46246</x:v>
      </x:c>
      <x:c r="M255" s="6"/>
      <x:c r="N255" s="8" t="n">
        <x:v>71400</x:v>
      </x:c>
      <x:c r="O255" t="str">
        <x:v>Retail</x:v>
      </x:c>
      <x:c r="P255" t="str">
        <x:v>Yes</x:v>
      </x:c>
      <x:c r="Q255" t="str">
        <x:v>Yes</x:v>
      </x:c>
      <x:c r="R255" s="6" t="n">
        <x:v>46251</x:v>
      </x:c>
      <x:c r="S255" t="str">
        <x:f>IF(E255="","Unique",IF(COUNTIF($E$2:E255,E255)&gt;1,"Duplicate","Unique"))</x:f>
        <x:v>Unique</x:v>
      </x:c>
      <x:c r="T255" t="str">
        <x:f>IF(J255="Unassigned","Yes","No")</x:f>
        <x:v>No</x:v>
      </x:c>
      <x:c r="U255" t="str">
        <x:f>IF(AND(E255="",F255=""),"Yes","No")</x:f>
        <x:v>No</x:v>
      </x:c>
      <x:c r="V255" t="str">
        <x:f>IF(AND('Dashboard'!$B$2-L255&gt;30,I255&lt;&gt;"Closed Won",I255&lt;&gt;"Closed Lost"),"Yes","No")</x:f>
        <x:v>No</x:v>
      </x:c>
      <x:c r="W255" t="str">
        <x:f>IF(AND(M255&lt;&gt;"",M255&lt;'Dashboard'!$B$2,I255&lt;&gt;"Closed Won",I255&lt;&gt;"Closed Lost"),"Yes","No")</x:f>
        <x:v>No</x:v>
      </x:c>
      <x:c r="X255" t="str">
        <x:f>IF(OR(S255="Duplicate",T255="Yes",U255="Yes",D255="Unknown",W255="Yes"),"Yes","No")</x:f>
        <x:v>No</x:v>
      </x:c>
      <x:c r="Y255" t="n">
        <x:f>IF(S255="Duplicate",0,1)</x:f>
        <x:v>1</x:v>
      </x:c>
    </x:row>
    <x:row r="256">
      <x:c r="A256" t="str">
        <x:v>L-0255</x:v>
      </x:c>
      <x:c r="B256" t="str">
        <x:v>Harper</x:v>
      </x:c>
      <x:c r="C256" t="str">
        <x:v>Jones</x:v>
      </x:c>
      <x:c r="D256" t="str">
        <x:v>Northstar Labs</x:v>
      </x:c>
      <x:c r="E256" t="str">
        <x:v>harper.jones677@examplebiz.com</x:v>
      </x:c>
      <x:c r="F256" t="str">
        <x:v>(789) 259-9516</x:v>
      </x:c>
      <x:c r="G256" t="str">
        <x:v>TX</x:v>
      </x:c>
      <x:c r="H256" t="str">
        <x:v>Referral</x:v>
      </x:c>
      <x:c r="I256" t="str">
        <x:v>Contacted</x:v>
      </x:c>
      <x:c r="J256" t="str">
        <x:v>Jordan Lee</x:v>
      </x:c>
      <x:c r="K256" s="6" t="n">
        <x:v>46049</x:v>
      </x:c>
      <x:c r="L256" s="6" t="n">
        <x:v>46091</x:v>
      </x:c>
      <x:c r="M256" s="6" t="n">
        <x:v>46107</x:v>
      </x:c>
      <x:c r="N256" s="8" t="n">
        <x:v>7600</x:v>
      </x:c>
      <x:c r="O256" t="str">
        <x:v>Technology</x:v>
      </x:c>
      <x:c r="P256" t="str">
        <x:v>No</x:v>
      </x:c>
      <x:c r="Q256" t="str">
        <x:v>No</x:v>
      </x:c>
      <x:c r="R256" s="6"/>
      <x:c r="S256" t="str">
        <x:f>IF(E256="","Unique",IF(COUNTIF($E$2:E256,E256)&gt;1,"Duplicate","Unique"))</x:f>
        <x:v>Unique</x:v>
      </x:c>
      <x:c r="T256" t="str">
        <x:f>IF(J256="Unassigned","Yes","No")</x:f>
        <x:v>No</x:v>
      </x:c>
      <x:c r="U256" t="str">
        <x:f>IF(AND(E256="",F256=""),"Yes","No")</x:f>
        <x:v>No</x:v>
      </x:c>
      <x:c r="V256" t="str">
        <x:f>IF(AND('Dashboard'!$B$2-L256&gt;30,I256&lt;&gt;"Closed Won",I256&lt;&gt;"Closed Lost"),"Yes","No")</x:f>
        <x:v>Yes</x:v>
      </x:c>
      <x:c r="W256" t="str">
        <x:f>IF(AND(M256&lt;&gt;"",M256&lt;'Dashboard'!$B$2,I256&lt;&gt;"Closed Won",I256&lt;&gt;"Closed Lost"),"Yes","No")</x:f>
        <x:v>Yes</x:v>
      </x:c>
      <x:c r="X256" t="str">
        <x:f>IF(OR(S256="Duplicate",T256="Yes",U256="Yes",D256="Unknown",W256="Yes"),"Yes","No")</x:f>
        <x:v>Yes</x:v>
      </x:c>
      <x:c r="Y256" t="n">
        <x:f>IF(S256="Duplicate",0,1)</x:f>
        <x:v>1</x:v>
      </x:c>
    </x:row>
    <x:row r="257">
      <x:c r="A257" t="str">
        <x:v>L-0256</x:v>
      </x:c>
      <x:c r="B257" t="str">
        <x:v>Olivia</x:v>
      </x:c>
      <x:c r="C257" t="str">
        <x:v>Lee</x:v>
      </x:c>
      <x:c r="D257" t="str">
        <x:v>Prairie Health</x:v>
      </x:c>
      <x:c r="E257" t="str">
        <x:v>amelia.johnson749@prospect.co</x:v>
      </x:c>
      <x:c r="F257" t="str">
        <x:v>(733) 753-5651</x:v>
      </x:c>
      <x:c r="G257" t="str">
        <x:v>OH</x:v>
      </x:c>
      <x:c r="H257" t="str">
        <x:v>Referral</x:v>
      </x:c>
      <x:c r="I257" t="str">
        <x:v>New</x:v>
      </x:c>
      <x:c r="J257" t="str">
        <x:v>Morgan Reed</x:v>
      </x:c>
      <x:c r="K257" s="6" t="n">
        <x:v>46169</x:v>
      </x:c>
      <x:c r="L257" s="6" t="n">
        <x:v>46179</x:v>
      </x:c>
      <x:c r="M257" s="6" t="n">
        <x:v>46183</x:v>
      </x:c>
      <x:c r="N257" s="8" t="n">
        <x:v>46800</x:v>
      </x:c>
      <x:c r="O257" t="str">
        <x:v>Biotech</x:v>
      </x:c>
      <x:c r="P257" t="str">
        <x:v>No</x:v>
      </x:c>
      <x:c r="Q257" t="str">
        <x:v>No</x:v>
      </x:c>
      <x:c r="R257" s="6"/>
      <x:c r="S257" t="str">
        <x:f>IF(E257="","Unique",IF(COUNTIF($E$2:E257,E257)&gt;1,"Duplicate","Unique"))</x:f>
        <x:v>Duplicate</x:v>
      </x:c>
      <x:c r="T257" t="str">
        <x:f>IF(J257="Unassigned","Yes","No")</x:f>
        <x:v>No</x:v>
      </x:c>
      <x:c r="U257" t="str">
        <x:f>IF(AND(E257="",F257=""),"Yes","No")</x:f>
        <x:v>No</x:v>
      </x:c>
      <x:c r="V257" t="str">
        <x:f>IF(AND('Dashboard'!$B$2-L257&gt;30,I257&lt;&gt;"Closed Won",I257&lt;&gt;"Closed Lost"),"Yes","No")</x:f>
        <x:v>Yes</x:v>
      </x:c>
      <x:c r="W257" t="str">
        <x:f>IF(AND(M257&lt;&gt;"",M257&lt;'Dashboard'!$B$2,I257&lt;&gt;"Closed Won",I257&lt;&gt;"Closed Lost"),"Yes","No")</x:f>
        <x:v>Yes</x:v>
      </x:c>
      <x:c r="X257" t="str">
        <x:f>IF(OR(S257="Duplicate",T257="Yes",U257="Yes",D257="Unknown",W257="Yes"),"Yes","No")</x:f>
        <x:v>Yes</x:v>
      </x:c>
      <x:c r="Y257" t="n">
        <x:f>IF(S257="Duplicate",0,1)</x:f>
        <x:v>0</x:v>
      </x:c>
    </x:row>
    <x:row r="258">
      <x:c r="A258" t="str">
        <x:v>L-0257</x:v>
      </x:c>
      <x:c r="B258" t="str">
        <x:v>Logan</x:v>
      </x:c>
      <x:c r="C258" t="str">
        <x:v>Rodriguez</x:v>
      </x:c>
      <x:c r="D258" t="str">
        <x:v>Pioneer Tech</x:v>
      </x:c>
      <x:c r="E258" t="str">
        <x:v>logan.rodriguez465@prospect.co</x:v>
      </x:c>
      <x:c r="F258" t="str">
        <x:v>(442) 963-9737</x:v>
      </x:c>
      <x:c r="G258" t="str">
        <x:v>CO</x:v>
      </x:c>
      <x:c r="H258" t="str">
        <x:v>LinkedIn</x:v>
      </x:c>
      <x:c r="I258" t="str">
        <x:v>Closed Lost</x:v>
      </x:c>
      <x:c r="J258" t="str">
        <x:v>Jordan Lee</x:v>
      </x:c>
      <x:c r="K258" s="6" t="n">
        <x:v>46132</x:v>
      </x:c>
      <x:c r="L258" s="6" t="n">
        <x:v>46170</x:v>
      </x:c>
      <x:c r="M258" s="6"/>
      <x:c r="N258" s="8" t="n">
        <x:v>49700</x:v>
      </x:c>
      <x:c r="O258" t="str">
        <x:v>Technology</x:v>
      </x:c>
      <x:c r="P258" t="str">
        <x:v>Yes</x:v>
      </x:c>
      <x:c r="Q258" t="str">
        <x:v>No</x:v>
      </x:c>
      <x:c r="R258" s="6" t="n">
        <x:v>46172</x:v>
      </x:c>
      <x:c r="S258" t="str">
        <x:f>IF(E258="","Unique",IF(COUNTIF($E$2:E258,E258)&gt;1,"Duplicate","Unique"))</x:f>
        <x:v>Unique</x:v>
      </x:c>
      <x:c r="T258" t="str">
        <x:f>IF(J258="Unassigned","Yes","No")</x:f>
        <x:v>No</x:v>
      </x:c>
      <x:c r="U258" t="str">
        <x:f>IF(AND(E258="",F258=""),"Yes","No")</x:f>
        <x:v>No</x:v>
      </x:c>
      <x:c r="V258" t="str">
        <x:f>IF(AND('Dashboard'!$B$2-L258&gt;30,I258&lt;&gt;"Closed Won",I258&lt;&gt;"Closed Lost"),"Yes","No")</x:f>
        <x:v>No</x:v>
      </x:c>
      <x:c r="W258" t="str">
        <x:f>IF(AND(M258&lt;&gt;"",M258&lt;'Dashboard'!$B$2,I258&lt;&gt;"Closed Won",I258&lt;&gt;"Closed Lost"),"Yes","No")</x:f>
        <x:v>No</x:v>
      </x:c>
      <x:c r="X258" t="str">
        <x:f>IF(OR(S258="Duplicate",T258="Yes",U258="Yes",D258="Unknown",W258="Yes"),"Yes","No")</x:f>
        <x:v>No</x:v>
      </x:c>
      <x:c r="Y258" t="n">
        <x:f>IF(S258="Duplicate",0,1)</x:f>
        <x:v>1</x:v>
      </x:c>
    </x:row>
    <x:row r="259">
      <x:c r="A259" t="str">
        <x:v>L-0258</x:v>
      </x:c>
      <x:c r="B259" t="str">
        <x:v>James</x:v>
      </x:c>
      <x:c r="C259" t="str">
        <x:v>Taylor</x:v>
      </x:c>
      <x:c r="D259" t="str">
        <x:v>Brightpath Health</x:v>
      </x:c>
      <x:c r="E259" t="str">
        <x:v>james.taylor413@mailhub.net</x:v>
      </x:c>
      <x:c r="F259" t="str">
        <x:v>(471) 798-9172</x:v>
      </x:c>
      <x:c r="G259" t="str">
        <x:v>CO</x:v>
      </x:c>
      <x:c r="H259" t="str">
        <x:v>Webinar</x:v>
      </x:c>
      <x:c r="I259" t="str">
        <x:v>New</x:v>
      </x:c>
      <x:c r="J259" t="str">
        <x:v>Alex Kim</x:v>
      </x:c>
      <x:c r="K259" s="6" t="n">
        <x:v>46192</x:v>
      </x:c>
      <x:c r="L259" s="6" t="n">
        <x:v>46220</x:v>
      </x:c>
      <x:c r="M259" s="6" t="n">
        <x:v>46225</x:v>
      </x:c>
      <x:c r="N259" s="8" t="n">
        <x:v>33000</x:v>
      </x:c>
      <x:c r="O259" t="str">
        <x:v>Technology</x:v>
      </x:c>
      <x:c r="P259" t="str">
        <x:v>No</x:v>
      </x:c>
      <x:c r="Q259" t="str">
        <x:v>No</x:v>
      </x:c>
      <x:c r="R259" s="6"/>
      <x:c r="S259" t="str">
        <x:f>IF(E259="","Unique",IF(COUNTIF($E$2:E259,E259)&gt;1,"Duplicate","Unique"))</x:f>
        <x:v>Unique</x:v>
      </x:c>
      <x:c r="T259" t="str">
        <x:f>IF(J259="Unassigned","Yes","No")</x:f>
        <x:v>No</x:v>
      </x:c>
      <x:c r="U259" t="str">
        <x:f>IF(AND(E259="",F259=""),"Yes","No")</x:f>
        <x:v>No</x:v>
      </x:c>
      <x:c r="V259" t="str">
        <x:f>IF(AND('Dashboard'!$B$2-L259&gt;30,I259&lt;&gt;"Closed Won",I259&lt;&gt;"Closed Lost"),"Yes","No")</x:f>
        <x:v>Yes</x:v>
      </x:c>
      <x:c r="W259" t="str">
        <x:f>IF(AND(M259&lt;&gt;"",M259&lt;'Dashboard'!$B$2,I259&lt;&gt;"Closed Won",I259&lt;&gt;"Closed Lost"),"Yes","No")</x:f>
        <x:v>Yes</x:v>
      </x:c>
      <x:c r="X259" t="str">
        <x:f>IF(OR(S259="Duplicate",T259="Yes",U259="Yes",D259="Unknown",W259="Yes"),"Yes","No")</x:f>
        <x:v>Yes</x:v>
      </x:c>
      <x:c r="Y259" t="n">
        <x:f>IF(S259="Duplicate",0,1)</x:f>
        <x:v>1</x:v>
      </x:c>
    </x:row>
    <x:row r="260">
      <x:c r="A260" t="str">
        <x:v>L-0259</x:v>
      </x:c>
      <x:c r="B260" t="str">
        <x:v>Olivia</x:v>
      </x:c>
      <x:c r="C260" t="str">
        <x:v>Moore</x:v>
      </x:c>
      <x:c r="D260" t="str">
        <x:v>Atlas Commerce</x:v>
      </x:c>
      <x:c r="E260" t="str">
        <x:v>olivia.moore297@northmail.com</x:v>
      </x:c>
      <x:c r="F260" t="str">
        <x:v>(736) 356-2929</x:v>
      </x:c>
      <x:c r="G260" t="str">
        <x:v>PA</x:v>
      </x:c>
      <x:c r="H260" t="str">
        <x:v>Website</x:v>
      </x:c>
      <x:c r="I260" t="str">
        <x:v>Qualified</x:v>
      </x:c>
      <x:c r="J260" t="str">
        <x:v>Alex Kim</x:v>
      </x:c>
      <x:c r="K260" s="6" t="n">
        <x:v>46216</x:v>
      </x:c>
      <x:c r="L260" s="6" t="n">
        <x:v>46242</x:v>
      </x:c>
      <x:c r="M260" s="6" t="n">
        <x:v>46248</x:v>
      </x:c>
      <x:c r="N260" s="8" t="n">
        <x:v>12500</x:v>
      </x:c>
      <x:c r="O260" t="str">
        <x:v>Healthcare</x:v>
      </x:c>
      <x:c r="P260" t="str">
        <x:v>Yes</x:v>
      </x:c>
      <x:c r="Q260" t="str">
        <x:v>No</x:v>
      </x:c>
      <x:c r="R260" s="6"/>
      <x:c r="S260" t="str">
        <x:f>IF(E260="","Unique",IF(COUNTIF($E$2:E260,E260)&gt;1,"Duplicate","Unique"))</x:f>
        <x:v>Unique</x:v>
      </x:c>
      <x:c r="T260" t="str">
        <x:f>IF(J260="Unassigned","Yes","No")</x:f>
        <x:v>No</x:v>
      </x:c>
      <x:c r="U260" t="str">
        <x:f>IF(AND(E260="",F260=""),"Yes","No")</x:f>
        <x:v>No</x:v>
      </x:c>
      <x:c r="V260" t="str">
        <x:f>IF(AND('Dashboard'!$B$2-L260&gt;30,I260&lt;&gt;"Closed Won",I260&lt;&gt;"Closed Lost"),"Yes","No")</x:f>
        <x:v>No</x:v>
      </x:c>
      <x:c r="W260" t="str">
        <x:f>IF(AND(M260&lt;&gt;"",M260&lt;'Dashboard'!$B$2,I260&lt;&gt;"Closed Won",I260&lt;&gt;"Closed Lost"),"Yes","No")</x:f>
        <x:v>Yes</x:v>
      </x:c>
      <x:c r="X260" t="str">
        <x:f>IF(OR(S260="Duplicate",T260="Yes",U260="Yes",D260="Unknown",W260="Yes"),"Yes","No")</x:f>
        <x:v>Yes</x:v>
      </x:c>
      <x:c r="Y260" t="n">
        <x:f>IF(S260="Duplicate",0,1)</x:f>
        <x:v>1</x:v>
      </x:c>
    </x:row>
    <x:row r="261">
      <x:c r="A261" t="str">
        <x:v>L-0260</x:v>
      </x:c>
      <x:c r="B261" t="str">
        <x:v>Logan</x:v>
      </x:c>
      <x:c r="C261" t="str">
        <x:v>Williams</x:v>
      </x:c>
      <x:c r="D261" t="str">
        <x:v>Peakline Systems</x:v>
      </x:c>
      <x:c r="E261" t="str">
        <x:v>logan.williams136@examplebiz.com</x:v>
      </x:c>
      <x:c r="F261" t="str">
        <x:v>717-851-8551</x:v>
      </x:c>
      <x:c r="G261" t="str">
        <x:v>NC</x:v>
      </x:c>
      <x:c r="H261" t="str">
        <x:v>Trade Show</x:v>
      </x:c>
      <x:c r="I261" t="str">
        <x:v>Qualified</x:v>
      </x:c>
      <x:c r="J261" t="str">
        <x:v>Alex Kim</x:v>
      </x:c>
      <x:c r="K261" s="6" t="n">
        <x:v>46160</x:v>
      </x:c>
      <x:c r="L261" s="6" t="n">
        <x:v>46208</x:v>
      </x:c>
      <x:c r="M261" s="6" t="n">
        <x:v>46226</x:v>
      </x:c>
      <x:c r="N261" s="8" t="n">
        <x:v>71300</x:v>
      </x:c>
      <x:c r="O261" t="str">
        <x:v>Professional Services</x:v>
      </x:c>
      <x:c r="P261" t="str">
        <x:v>Yes</x:v>
      </x:c>
      <x:c r="Q261" t="str">
        <x:v>No</x:v>
      </x:c>
      <x:c r="R261" s="6"/>
      <x:c r="S261" t="str">
        <x:f>IF(E261="","Unique",IF(COUNTIF($E$2:E261,E261)&gt;1,"Duplicate","Unique"))</x:f>
        <x:v>Unique</x:v>
      </x:c>
      <x:c r="T261" t="str">
        <x:f>IF(J261="Unassigned","Yes","No")</x:f>
        <x:v>No</x:v>
      </x:c>
      <x:c r="U261" t="str">
        <x:f>IF(AND(E261="",F261=""),"Yes","No")</x:f>
        <x:v>No</x:v>
      </x:c>
      <x:c r="V261" t="str">
        <x:f>IF(AND('Dashboard'!$B$2-L261&gt;30,I261&lt;&gt;"Closed Won",I261&lt;&gt;"Closed Lost"),"Yes","No")</x:f>
        <x:v>Yes</x:v>
      </x:c>
      <x:c r="W261" t="str">
        <x:f>IF(AND(M261&lt;&gt;"",M261&lt;'Dashboard'!$B$2,I261&lt;&gt;"Closed Won",I261&lt;&gt;"Closed Lost"),"Yes","No")</x:f>
        <x:v>Yes</x:v>
      </x:c>
      <x:c r="X261" t="str">
        <x:f>IF(OR(S261="Duplicate",T261="Yes",U261="Yes",D261="Unknown",W261="Yes"),"Yes","No")</x:f>
        <x:v>Yes</x:v>
      </x:c>
      <x:c r="Y261" t="n">
        <x:f>IF(S261="Duplicate",0,1)</x:f>
        <x:v>1</x:v>
      </x:c>
    </x:row>
    <x:row r="262">
      <x:c r="A262" t="str">
        <x:v>L-0261</x:v>
      </x:c>
      <x:c r="B262" t="str">
        <x:v>Ethan</x:v>
      </x:c>
      <x:c r="C262" t="str">
        <x:v>Smith</x:v>
      </x:c>
      <x:c r="D262" t="str">
        <x:v>Evergreen Services</x:v>
      </x:c>
      <x:c r="E262" t="str">
        <x:v>ethan.smith535@examplebiz.com</x:v>
      </x:c>
      <x:c r="F262" t="str">
        <x:v>(969) 687-9235</x:v>
      </x:c>
      <x:c r="G262" t="str">
        <x:v>OH</x:v>
      </x:c>
      <x:c r="H262" t="str">
        <x:v>Trade Show</x:v>
      </x:c>
      <x:c r="I262" t="str">
        <x:v>New</x:v>
      </x:c>
      <x:c r="J262" t="str">
        <x:v>Alex Kim</x:v>
      </x:c>
      <x:c r="K262" s="6" t="n">
        <x:v>46088</x:v>
      </x:c>
      <x:c r="L262" s="6" t="n">
        <x:v>46226</x:v>
      </x:c>
      <x:c r="M262" s="6" t="n">
        <x:v>46247</x:v>
      </x:c>
      <x:c r="N262" s="8" t="n">
        <x:v>65000</x:v>
      </x:c>
      <x:c r="O262" t="str">
        <x:v>Technology</x:v>
      </x:c>
      <x:c r="P262" t="str">
        <x:v>No</x:v>
      </x:c>
      <x:c r="Q262" t="str">
        <x:v>No</x:v>
      </x:c>
      <x:c r="R262" s="6"/>
      <x:c r="S262" t="str">
        <x:f>IF(E262="","Unique",IF(COUNTIF($E$2:E262,E262)&gt;1,"Duplicate","Unique"))</x:f>
        <x:v>Unique</x:v>
      </x:c>
      <x:c r="T262" t="str">
        <x:f>IF(J262="Unassigned","Yes","No")</x:f>
        <x:v>No</x:v>
      </x:c>
      <x:c r="U262" t="str">
        <x:f>IF(AND(E262="",F262=""),"Yes","No")</x:f>
        <x:v>No</x:v>
      </x:c>
      <x:c r="V262" t="str">
        <x:f>IF(AND('Dashboard'!$B$2-L262&gt;30,I262&lt;&gt;"Closed Won",I262&lt;&gt;"Closed Lost"),"Yes","No")</x:f>
        <x:v>No</x:v>
      </x:c>
      <x:c r="W262" t="str">
        <x:f>IF(AND(M262&lt;&gt;"",M262&lt;'Dashboard'!$B$2,I262&lt;&gt;"Closed Won",I262&lt;&gt;"Closed Lost"),"Yes","No")</x:f>
        <x:v>Yes</x:v>
      </x:c>
      <x:c r="X262" t="str">
        <x:f>IF(OR(S262="Duplicate",T262="Yes",U262="Yes",D262="Unknown",W262="Yes"),"Yes","No")</x:f>
        <x:v>Yes</x:v>
      </x:c>
      <x:c r="Y262" t="n">
        <x:f>IF(S262="Duplicate",0,1)</x:f>
        <x:v>1</x:v>
      </x:c>
    </x:row>
    <x:row r="263">
      <x:c r="A263" t="str">
        <x:v>L-0262</x:v>
      </x:c>
      <x:c r="B263" t="str">
        <x:v>Benjamin</x:v>
      </x:c>
      <x:c r="C263" t="str">
        <x:v>Smith</x:v>
      </x:c>
      <x:c r="D263" t="str">
        <x:v>Redstone Consulting</x:v>
      </x:c>
      <x:c r="E263" t="str">
        <x:v>benjamin.smith102@examplebiz.com</x:v>
      </x:c>
      <x:c r="F263" t="str">
        <x:v>(493) 347-3992</x:v>
      </x:c>
      <x:c r="G263" t="str">
        <x:v>CA</x:v>
      </x:c>
      <x:c r="H263" t="str">
        <x:v>Referral</x:v>
      </x:c>
      <x:c r="I263" t="str">
        <x:v>Closed Won</x:v>
      </x:c>
      <x:c r="J263" t="str">
        <x:v>Jordan Lee</x:v>
      </x:c>
      <x:c r="K263" s="6" t="n">
        <x:v>46165</x:v>
      </x:c>
      <x:c r="L263" s="6" t="n">
        <x:v>46213</x:v>
      </x:c>
      <x:c r="M263" s="6"/>
      <x:c r="N263" s="8" t="n">
        <x:v>23700</x:v>
      </x:c>
      <x:c r="O263" t="str">
        <x:v>Professional Services</x:v>
      </x:c>
      <x:c r="P263" t="str">
        <x:v>Yes</x:v>
      </x:c>
      <x:c r="Q263" t="str">
        <x:v>Yes</x:v>
      </x:c>
      <x:c r="R263" s="6" t="n">
        <x:v>46218</x:v>
      </x:c>
      <x:c r="S263" t="str">
        <x:f>IF(E263="","Unique",IF(COUNTIF($E$2:E263,E263)&gt;1,"Duplicate","Unique"))</x:f>
        <x:v>Unique</x:v>
      </x:c>
      <x:c r="T263" t="str">
        <x:f>IF(J263="Unassigned","Yes","No")</x:f>
        <x:v>No</x:v>
      </x:c>
      <x:c r="U263" t="str">
        <x:f>IF(AND(E263="",F263=""),"Yes","No")</x:f>
        <x:v>No</x:v>
      </x:c>
      <x:c r="V263" t="str">
        <x:f>IF(AND('Dashboard'!$B$2-L263&gt;30,I263&lt;&gt;"Closed Won",I263&lt;&gt;"Closed Lost"),"Yes","No")</x:f>
        <x:v>No</x:v>
      </x:c>
      <x:c r="W263" t="str">
        <x:f>IF(AND(M263&lt;&gt;"",M263&lt;'Dashboard'!$B$2,I263&lt;&gt;"Closed Won",I263&lt;&gt;"Closed Lost"),"Yes","No")</x:f>
        <x:v>No</x:v>
      </x:c>
      <x:c r="X263" t="str">
        <x:f>IF(OR(S263="Duplicate",T263="Yes",U263="Yes",D263="Unknown",W263="Yes"),"Yes","No")</x:f>
        <x:v>No</x:v>
      </x:c>
      <x:c r="Y263" t="n">
        <x:f>IF(S263="Duplicate",0,1)</x:f>
        <x:v>1</x:v>
      </x:c>
    </x:row>
    <x:row r="264">
      <x:c r="A264" t="str">
        <x:v>L-0263</x:v>
      </x:c>
      <x:c r="B264" t="str">
        <x:v>Noah</x:v>
      </x:c>
      <x:c r="C264" t="str">
        <x:v>Johnson</x:v>
      </x:c>
      <x:c r="D264" t="str">
        <x:v>Unknown</x:v>
      </x:c>
      <x:c r="E264" t="str">
        <x:v>noah.johnson63@prospect.co</x:v>
      </x:c>
      <x:c r="F264" t="str">
        <x:v>(676) 766-7669</x:v>
      </x:c>
      <x:c r="G264" t="str">
        <x:v>WA</x:v>
      </x:c>
      <x:c r="H264" t="str">
        <x:v>Trade Show</x:v>
      </x:c>
      <x:c r="I264" t="str">
        <x:v>Qualified</x:v>
      </x:c>
      <x:c r="J264" t="str">
        <x:v>Unassigned</x:v>
      </x:c>
      <x:c r="K264" s="6" t="n">
        <x:v>46054</x:v>
      </x:c>
      <x:c r="L264" s="6" t="n">
        <x:v>46183</x:v>
      </x:c>
      <x:c r="M264" s="6" t="n">
        <x:v>46198</x:v>
      </x:c>
      <x:c r="N264" s="8" t="n">
        <x:v>80800</x:v>
      </x:c>
      <x:c r="O264" t="str">
        <x:v>Retail</x:v>
      </x:c>
      <x:c r="P264" t="str">
        <x:v>Yes</x:v>
      </x:c>
      <x:c r="Q264" t="str">
        <x:v>No</x:v>
      </x:c>
      <x:c r="R264" s="6"/>
      <x:c r="S264" t="str">
        <x:f>IF(E264="","Unique",IF(COUNTIF($E$2:E264,E264)&gt;1,"Duplicate","Unique"))</x:f>
        <x:v>Unique</x:v>
      </x:c>
      <x:c r="T264" t="str">
        <x:f>IF(J264="Unassigned","Yes","No")</x:f>
        <x:v>Yes</x:v>
      </x:c>
      <x:c r="U264" t="str">
        <x:f>IF(AND(E264="",F264=""),"Yes","No")</x:f>
        <x:v>No</x:v>
      </x:c>
      <x:c r="V264" t="str">
        <x:f>IF(AND('Dashboard'!$B$2-L264&gt;30,I264&lt;&gt;"Closed Won",I264&lt;&gt;"Closed Lost"),"Yes","No")</x:f>
        <x:v>Yes</x:v>
      </x:c>
      <x:c r="W264" t="str">
        <x:f>IF(AND(M264&lt;&gt;"",M264&lt;'Dashboard'!$B$2,I264&lt;&gt;"Closed Won",I264&lt;&gt;"Closed Lost"),"Yes","No")</x:f>
        <x:v>Yes</x:v>
      </x:c>
      <x:c r="X264" t="str">
        <x:f>IF(OR(S264="Duplicate",T264="Yes",U264="Yes",D264="Unknown",W264="Yes"),"Yes","No")</x:f>
        <x:v>Yes</x:v>
      </x:c>
      <x:c r="Y264" t="n">
        <x:f>IF(S264="Duplicate",0,1)</x:f>
        <x:v>1</x:v>
      </x:c>
    </x:row>
    <x:row r="265">
      <x:c r="A265" t="str">
        <x:v>L-0264</x:v>
      </x:c>
      <x:c r="B265" t="str">
        <x:v>Luna</x:v>
      </x:c>
      <x:c r="C265" t="str">
        <x:v>Taylor</x:v>
      </x:c>
      <x:c r="D265" t="str">
        <x:v>Unknown</x:v>
      </x:c>
      <x:c r="E265" t="str">
        <x:v>luna.taylor801@examplebiz.com</x:v>
      </x:c>
      <x:c r="F265" t="str">
        <x:v>(751) 633-8401</x:v>
      </x:c>
      <x:c r="G265" t="str">
        <x:v>OH</x:v>
      </x:c>
      <x:c r="H265" t="str">
        <x:v>Webinar</x:v>
      </x:c>
      <x:c r="I265" t="str">
        <x:v>Closed Won</x:v>
      </x:c>
      <x:c r="J265" t="str">
        <x:v>Taylor Morgan</x:v>
      </x:c>
      <x:c r="K265" s="6" t="n">
        <x:v>46210</x:v>
      </x:c>
      <x:c r="L265" s="6" t="n">
        <x:v>46233</x:v>
      </x:c>
      <x:c r="M265" s="6"/>
      <x:c r="N265" s="8" t="n">
        <x:v>47100</x:v>
      </x:c>
      <x:c r="O265" t="str">
        <x:v>Technology</x:v>
      </x:c>
      <x:c r="P265" t="str">
        <x:v>Yes</x:v>
      </x:c>
      <x:c r="Q265" t="str">
        <x:v>Yes</x:v>
      </x:c>
      <x:c r="R265" s="6" t="n">
        <x:v>46233</x:v>
      </x:c>
      <x:c r="S265" t="str">
        <x:f>IF(E265="","Unique",IF(COUNTIF($E$2:E265,E265)&gt;1,"Duplicate","Unique"))</x:f>
        <x:v>Unique</x:v>
      </x:c>
      <x:c r="T265" t="str">
        <x:f>IF(J265="Unassigned","Yes","No")</x:f>
        <x:v>No</x:v>
      </x:c>
      <x:c r="U265" t="str">
        <x:f>IF(AND(E265="",F265=""),"Yes","No")</x:f>
        <x:v>No</x:v>
      </x:c>
      <x:c r="V265" t="str">
        <x:f>IF(AND('Dashboard'!$B$2-L265&gt;30,I265&lt;&gt;"Closed Won",I265&lt;&gt;"Closed Lost"),"Yes","No")</x:f>
        <x:v>No</x:v>
      </x:c>
      <x:c r="W265" t="str">
        <x:f>IF(AND(M265&lt;&gt;"",M265&lt;'Dashboard'!$B$2,I265&lt;&gt;"Closed Won",I265&lt;&gt;"Closed Lost"),"Yes","No")</x:f>
        <x:v>No</x:v>
      </x:c>
      <x:c r="X265" t="str">
        <x:f>IF(OR(S265="Duplicate",T265="Yes",U265="Yes",D265="Unknown",W265="Yes"),"Yes","No")</x:f>
        <x:v>Yes</x:v>
      </x:c>
      <x:c r="Y265" t="n">
        <x:f>IF(S265="Duplicate",0,1)</x:f>
        <x:v>1</x:v>
      </x:c>
    </x:row>
    <x:row r="266">
      <x:c r="A266" t="str">
        <x:v>L-0265</x:v>
      </x:c>
      <x:c r="B266" t="str">
        <x:v>Olivia</x:v>
      </x:c>
      <x:c r="C266" t="str">
        <x:v>Perez</x:v>
      </x:c>
      <x:c r="D266" t="str">
        <x:v>Evergreen Services</x:v>
      </x:c>
      <x:c r="E266" t="str">
        <x:v>olivia.perez743@prospect.co</x:v>
      </x:c>
      <x:c r="F266" t="str">
        <x:v>(643) 415-9270</x:v>
      </x:c>
      <x:c r="G266" t="str">
        <x:v>CA</x:v>
      </x:c>
      <x:c r="H266" t="str">
        <x:v>LinkedIn</x:v>
      </x:c>
      <x:c r="I266" t="str">
        <x:v>Qualified</x:v>
      </x:c>
      <x:c r="J266" t="str">
        <x:v>Taylor Morgan</x:v>
      </x:c>
      <x:c r="K266" s="6" t="n">
        <x:v>46170</x:v>
      </x:c>
      <x:c r="L266" s="6" t="n">
        <x:v>46181</x:v>
      </x:c>
      <x:c r="M266" s="6" t="n">
        <x:v>46196</x:v>
      </x:c>
      <x:c r="N266" s="8" t="n">
        <x:v>60100</x:v>
      </x:c>
      <x:c r="O266" t="str">
        <x:v>Healthcare</x:v>
      </x:c>
      <x:c r="P266" t="str">
        <x:v>Yes</x:v>
      </x:c>
      <x:c r="Q266" t="str">
        <x:v>No</x:v>
      </x:c>
      <x:c r="R266" s="6"/>
      <x:c r="S266" t="str">
        <x:f>IF(E266="","Unique",IF(COUNTIF($E$2:E266,E266)&gt;1,"Duplicate","Unique"))</x:f>
        <x:v>Unique</x:v>
      </x:c>
      <x:c r="T266" t="str">
        <x:f>IF(J266="Unassigned","Yes","No")</x:f>
        <x:v>No</x:v>
      </x:c>
      <x:c r="U266" t="str">
        <x:f>IF(AND(E266="",F266=""),"Yes","No")</x:f>
        <x:v>No</x:v>
      </x:c>
      <x:c r="V266" t="str">
        <x:f>IF(AND('Dashboard'!$B$2-L266&gt;30,I266&lt;&gt;"Closed Won",I266&lt;&gt;"Closed Lost"),"Yes","No")</x:f>
        <x:v>Yes</x:v>
      </x:c>
      <x:c r="W266" t="str">
        <x:f>IF(AND(M266&lt;&gt;"",M266&lt;'Dashboard'!$B$2,I266&lt;&gt;"Closed Won",I266&lt;&gt;"Closed Lost"),"Yes","No")</x:f>
        <x:v>Yes</x:v>
      </x:c>
      <x:c r="X266" t="str">
        <x:f>IF(OR(S266="Duplicate",T266="Yes",U266="Yes",D266="Unknown",W266="Yes"),"Yes","No")</x:f>
        <x:v>Yes</x:v>
      </x:c>
      <x:c r="Y266" t="n">
        <x:f>IF(S266="Duplicate",0,1)</x:f>
        <x:v>1</x:v>
      </x:c>
    </x:row>
    <x:row r="267">
      <x:c r="A267" t="str">
        <x:v>L-0266</x:v>
      </x:c>
      <x:c r="B267" t="str">
        <x:v>Emma</x:v>
      </x:c>
      <x:c r="C267" t="str">
        <x:v>Smith</x:v>
      </x:c>
      <x:c r="D267" t="str">
        <x:v>Atlas Commerce</x:v>
      </x:c>
      <x:c r="E267" t="str">
        <x:v>emma.smith84@northmail.com</x:v>
      </x:c>
      <x:c r="F267" t="str">
        <x:v>(752) 231-8293</x:v>
      </x:c>
      <x:c r="G267" t="str">
        <x:v>CO</x:v>
      </x:c>
      <x:c r="H267" t="str">
        <x:v>LinkedIn</x:v>
      </x:c>
      <x:c r="I267" t="str">
        <x:v>Contacted</x:v>
      </x:c>
      <x:c r="J267" t="str">
        <x:v>Alex Kim</x:v>
      </x:c>
      <x:c r="K267" s="6" t="n">
        <x:v>46068</x:v>
      </x:c>
      <x:c r="L267" s="6" t="n">
        <x:v>46248</x:v>
      </x:c>
      <x:c r="M267" s="6" t="n">
        <x:v>46266</x:v>
      </x:c>
      <x:c r="N267" s="8" t="n">
        <x:v>65400</x:v>
      </x:c>
      <x:c r="O267" t="str">
        <x:v>Healthcare</x:v>
      </x:c>
      <x:c r="P267" t="str">
        <x:v>No</x:v>
      </x:c>
      <x:c r="Q267" t="str">
        <x:v>No</x:v>
      </x:c>
      <x:c r="R267" s="6"/>
      <x:c r="S267" t="str">
        <x:f>IF(E267="","Unique",IF(COUNTIF($E$2:E267,E267)&gt;1,"Duplicate","Unique"))</x:f>
        <x:v>Unique</x:v>
      </x:c>
      <x:c r="T267" t="str">
        <x:f>IF(J267="Unassigned","Yes","No")</x:f>
        <x:v>No</x:v>
      </x:c>
      <x:c r="U267" t="str">
        <x:f>IF(AND(E267="",F267=""),"Yes","No")</x:f>
        <x:v>No</x:v>
      </x:c>
      <x:c r="V267" t="str">
        <x:f>IF(AND('Dashboard'!$B$2-L267&gt;30,I267&lt;&gt;"Closed Won",I267&lt;&gt;"Closed Lost"),"Yes","No")</x:f>
        <x:v>No</x:v>
      </x:c>
      <x:c r="W267" t="str">
        <x:f>IF(AND(M267&lt;&gt;"",M267&lt;'Dashboard'!$B$2,I267&lt;&gt;"Closed Won",I267&lt;&gt;"Closed Lost"),"Yes","No")</x:f>
        <x:v>No</x:v>
      </x:c>
      <x:c r="X267" t="str">
        <x:f>IF(OR(S267="Duplicate",T267="Yes",U267="Yes",D267="Unknown",W267="Yes"),"Yes","No")</x:f>
        <x:v>No</x:v>
      </x:c>
      <x:c r="Y267" t="n">
        <x:f>IF(S267="Duplicate",0,1)</x:f>
        <x:v>1</x:v>
      </x:c>
    </x:row>
    <x:row r="268">
      <x:c r="A268" t="str">
        <x:v>L-0267</x:v>
      </x:c>
      <x:c r="B268" t="str">
        <x:v>Ava</x:v>
      </x:c>
      <x:c r="C268" t="str">
        <x:v>Rodriguez</x:v>
      </x:c>
      <x:c r="D268" t="str">
        <x:v>Pioneer Tech</x:v>
      </x:c>
      <x:c r="E268" t="str">
        <x:v>ava.rodriguez991@prospect.co</x:v>
      </x:c>
      <x:c r="F268" t="str">
        <x:v>(238) 487-9074</x:v>
      </x:c>
      <x:c r="G268" t="str">
        <x:v>TX</x:v>
      </x:c>
      <x:c r="H268" t="str">
        <x:v>Email Campaign</x:v>
      </x:c>
      <x:c r="I268" t="str">
        <x:v>Opportunity</x:v>
      </x:c>
      <x:c r="J268" t="str">
        <x:v>Morgan Reed</x:v>
      </x:c>
      <x:c r="K268" s="6" t="n">
        <x:v>46040</x:v>
      </x:c>
      <x:c r="L268" s="6" t="n">
        <x:v>46223</x:v>
      </x:c>
      <x:c r="M268" s="6" t="n">
        <x:v>46233</x:v>
      </x:c>
      <x:c r="N268" s="8" t="n">
        <x:v>21800</x:v>
      </x:c>
      <x:c r="O268" t="str">
        <x:v>Retail</x:v>
      </x:c>
      <x:c r="P268" t="str">
        <x:v>Yes</x:v>
      </x:c>
      <x:c r="Q268" t="str">
        <x:v>No</x:v>
      </x:c>
      <x:c r="R268" s="6"/>
      <x:c r="S268" t="str">
        <x:f>IF(E268="","Unique",IF(COUNTIF($E$2:E268,E268)&gt;1,"Duplicate","Unique"))</x:f>
        <x:v>Unique</x:v>
      </x:c>
      <x:c r="T268" t="str">
        <x:f>IF(J268="Unassigned","Yes","No")</x:f>
        <x:v>No</x:v>
      </x:c>
      <x:c r="U268" t="str">
        <x:f>IF(AND(E268="",F268=""),"Yes","No")</x:f>
        <x:v>No</x:v>
      </x:c>
      <x:c r="V268" t="str">
        <x:f>IF(AND('Dashboard'!$B$2-L268&gt;30,I268&lt;&gt;"Closed Won",I268&lt;&gt;"Closed Lost"),"Yes","No")</x:f>
        <x:v>No</x:v>
      </x:c>
      <x:c r="W268" t="str">
        <x:f>IF(AND(M268&lt;&gt;"",M268&lt;'Dashboard'!$B$2,I268&lt;&gt;"Closed Won",I268&lt;&gt;"Closed Lost"),"Yes","No")</x:f>
        <x:v>Yes</x:v>
      </x:c>
      <x:c r="X268" t="str">
        <x:f>IF(OR(S268="Duplicate",T268="Yes",U268="Yes",D268="Unknown",W268="Yes"),"Yes","No")</x:f>
        <x:v>Yes</x:v>
      </x:c>
      <x:c r="Y268" t="n">
        <x:f>IF(S268="Duplicate",0,1)</x:f>
        <x:v>1</x:v>
      </x:c>
    </x:row>
    <x:row r="269">
      <x:c r="A269" t="str">
        <x:v>L-0268</x:v>
      </x:c>
      <x:c r="B269" t="str">
        <x:v>Mia</x:v>
      </x:c>
      <x:c r="C269" t="str">
        <x:v>Jones</x:v>
      </x:c>
      <x:c r="D269" t="str">
        <x:v>Horizon Bio</x:v>
      </x:c>
      <x:c r="E269" t="str">
        <x:v>mia.jones259@mailhub.net</x:v>
      </x:c>
      <x:c r="F269" t="str">
        <x:v>203-637-1849</x:v>
      </x:c>
      <x:c r="G269" t="str">
        <x:v>GA</x:v>
      </x:c>
      <x:c r="H269" t="str">
        <x:v>LinkedIn</x:v>
      </x:c>
      <x:c r="I269" t="str">
        <x:v>Contacted</x:v>
      </x:c>
      <x:c r="J269" t="str">
        <x:v>Alex Kim</x:v>
      </x:c>
      <x:c r="K269" s="6" t="n">
        <x:v>46073</x:v>
      </x:c>
      <x:c r="L269" s="6" t="n">
        <x:v>46078</x:v>
      </x:c>
      <x:c r="M269" s="6" t="n">
        <x:v>46103</x:v>
      </x:c>
      <x:c r="N269" s="8" t="n">
        <x:v>58400</x:v>
      </x:c>
      <x:c r="O269" t="str">
        <x:v>Retail</x:v>
      </x:c>
      <x:c r="P269" t="str">
        <x:v>No</x:v>
      </x:c>
      <x:c r="Q269" t="str">
        <x:v>No</x:v>
      </x:c>
      <x:c r="R269" s="6"/>
      <x:c r="S269" t="str">
        <x:f>IF(E269="","Unique",IF(COUNTIF($E$2:E269,E269)&gt;1,"Duplicate","Unique"))</x:f>
        <x:v>Unique</x:v>
      </x:c>
      <x:c r="T269" t="str">
        <x:f>IF(J269="Unassigned","Yes","No")</x:f>
        <x:v>No</x:v>
      </x:c>
      <x:c r="U269" t="str">
        <x:f>IF(AND(E269="",F269=""),"Yes","No")</x:f>
        <x:v>No</x:v>
      </x:c>
      <x:c r="V269" t="str">
        <x:f>IF(AND('Dashboard'!$B$2-L269&gt;30,I269&lt;&gt;"Closed Won",I269&lt;&gt;"Closed Lost"),"Yes","No")</x:f>
        <x:v>Yes</x:v>
      </x:c>
      <x:c r="W269" t="str">
        <x:f>IF(AND(M269&lt;&gt;"",M269&lt;'Dashboard'!$B$2,I269&lt;&gt;"Closed Won",I269&lt;&gt;"Closed Lost"),"Yes","No")</x:f>
        <x:v>Yes</x:v>
      </x:c>
      <x:c r="X269" t="str">
        <x:f>IF(OR(S269="Duplicate",T269="Yes",U269="Yes",D269="Unknown",W269="Yes"),"Yes","No")</x:f>
        <x:v>Yes</x:v>
      </x:c>
      <x:c r="Y269" t="n">
        <x:f>IF(S269="Duplicate",0,1)</x:f>
        <x:v>1</x:v>
      </x:c>
    </x:row>
    <x:row r="270">
      <x:c r="A270" t="str">
        <x:v>L-0269</x:v>
      </x:c>
      <x:c r="B270" t="str">
        <x:v>Amelia</x:v>
      </x:c>
      <x:c r="C270" t="str">
        <x:v>Miller</x:v>
      </x:c>
      <x:c r="D270" t="str">
        <x:v>Redstone Consulting</x:v>
      </x:c>
      <x:c r="E270" t="str">
        <x:v>amelia.miller940@examplebiz.com</x:v>
      </x:c>
      <x:c r="F270" t="str">
        <x:v>(402) 368-6394</x:v>
      </x:c>
      <x:c r="G270" t="str">
        <x:v>WA</x:v>
      </x:c>
      <x:c r="H270" t="str">
        <x:v>Email Campaign</x:v>
      </x:c>
      <x:c r="I270" t="str">
        <x:v>Closed Lost</x:v>
      </x:c>
      <x:c r="J270" t="str">
        <x:v>Jordan Lee</x:v>
      </x:c>
      <x:c r="K270" s="6" t="n">
        <x:v>46189</x:v>
      </x:c>
      <x:c r="L270" s="6" t="n">
        <x:v>46251</x:v>
      </x:c>
      <x:c r="M270" s="6"/>
      <x:c r="N270" s="8" t="n">
        <x:v>59400</x:v>
      </x:c>
      <x:c r="O270" t="str">
        <x:v>Technology</x:v>
      </x:c>
      <x:c r="P270" t="str">
        <x:v>Yes</x:v>
      </x:c>
      <x:c r="Q270" t="str">
        <x:v>No</x:v>
      </x:c>
      <x:c r="R270" s="6" t="n">
        <x:v>46251</x:v>
      </x:c>
      <x:c r="S270" t="str">
        <x:f>IF(E270="","Unique",IF(COUNTIF($E$2:E270,E270)&gt;1,"Duplicate","Unique"))</x:f>
        <x:v>Unique</x:v>
      </x:c>
      <x:c r="T270" t="str">
        <x:f>IF(J270="Unassigned","Yes","No")</x:f>
        <x:v>No</x:v>
      </x:c>
      <x:c r="U270" t="str">
        <x:f>IF(AND(E270="",F270=""),"Yes","No")</x:f>
        <x:v>No</x:v>
      </x:c>
      <x:c r="V270" t="str">
        <x:f>IF(AND('Dashboard'!$B$2-L270&gt;30,I270&lt;&gt;"Closed Won",I270&lt;&gt;"Closed Lost"),"Yes","No")</x:f>
        <x:v>No</x:v>
      </x:c>
      <x:c r="W270" t="str">
        <x:f>IF(AND(M270&lt;&gt;"",M270&lt;'Dashboard'!$B$2,I270&lt;&gt;"Closed Won",I270&lt;&gt;"Closed Lost"),"Yes","No")</x:f>
        <x:v>No</x:v>
      </x:c>
      <x:c r="X270" t="str">
        <x:f>IF(OR(S270="Duplicate",T270="Yes",U270="Yes",D270="Unknown",W270="Yes"),"Yes","No")</x:f>
        <x:v>No</x:v>
      </x:c>
      <x:c r="Y270" t="n">
        <x:f>IF(S270="Duplicate",0,1)</x:f>
        <x:v>1</x:v>
      </x:c>
    </x:row>
    <x:row r="271">
      <x:c r="A271" t="str">
        <x:v>L-0270</x:v>
      </x:c>
      <x:c r="B271" t="str">
        <x:v>Henry</x:v>
      </x:c>
      <x:c r="C271" t="str">
        <x:v>Thompson</x:v>
      </x:c>
      <x:c r="D271" t="str">
        <x:v>Prairie Health</x:v>
      </x:c>
      <x:c r="E271" t="str">
        <x:v>henry.thompson67@examplebiz.com</x:v>
      </x:c>
      <x:c r="F271" t="str">
        <x:v>(264) 652-1897</x:v>
      </x:c>
      <x:c r="G271" t="str">
        <x:v>OH</x:v>
      </x:c>
      <x:c r="H271" t="str">
        <x:v>Webinar</x:v>
      </x:c>
      <x:c r="I271" t="str">
        <x:v>New</x:v>
      </x:c>
      <x:c r="J271" t="str">
        <x:v>Jamie Brooks</x:v>
      </x:c>
      <x:c r="K271" s="6" t="n">
        <x:v>46231</x:v>
      </x:c>
      <x:c r="L271" s="6" t="n">
        <x:v>46232</x:v>
      </x:c>
      <x:c r="M271" s="6" t="n">
        <x:v>46247</x:v>
      </x:c>
      <x:c r="N271" s="8" t="n">
        <x:v>28300</x:v>
      </x:c>
      <x:c r="O271" t="str">
        <x:v>Technology</x:v>
      </x:c>
      <x:c r="P271" t="str">
        <x:v>No</x:v>
      </x:c>
      <x:c r="Q271" t="str">
        <x:v>No</x:v>
      </x:c>
      <x:c r="R271" s="6"/>
      <x:c r="S271" t="str">
        <x:f>IF(E271="","Unique",IF(COUNTIF($E$2:E271,E271)&gt;1,"Duplicate","Unique"))</x:f>
        <x:v>Unique</x:v>
      </x:c>
      <x:c r="T271" t="str">
        <x:f>IF(J271="Unassigned","Yes","No")</x:f>
        <x:v>No</x:v>
      </x:c>
      <x:c r="U271" t="str">
        <x:f>IF(AND(E271="",F271=""),"Yes","No")</x:f>
        <x:v>No</x:v>
      </x:c>
      <x:c r="V271" t="str">
        <x:f>IF(AND('Dashboard'!$B$2-L271&gt;30,I271&lt;&gt;"Closed Won",I271&lt;&gt;"Closed Lost"),"Yes","No")</x:f>
        <x:v>No</x:v>
      </x:c>
      <x:c r="W271" t="str">
        <x:f>IF(AND(M271&lt;&gt;"",M271&lt;'Dashboard'!$B$2,I271&lt;&gt;"Closed Won",I271&lt;&gt;"Closed Lost"),"Yes","No")</x:f>
        <x:v>Yes</x:v>
      </x:c>
      <x:c r="X271" t="str">
        <x:f>IF(OR(S271="Duplicate",T271="Yes",U271="Yes",D271="Unknown",W271="Yes"),"Yes","No")</x:f>
        <x:v>Yes</x:v>
      </x:c>
      <x:c r="Y271" t="n">
        <x:f>IF(S271="Duplicate",0,1)</x:f>
        <x:v>1</x:v>
      </x:c>
    </x:row>
    <x:row r="272">
      <x:c r="A272" t="str">
        <x:v>L-0271</x:v>
      </x:c>
      <x:c r="B272" t="str">
        <x:v>Amelia</x:v>
      </x:c>
      <x:c r="C272" t="str">
        <x:v>Moore</x:v>
      </x:c>
      <x:c r="D272" t="str">
        <x:v>Vertex Solutions</x:v>
      </x:c>
      <x:c r="E272" t="str">
        <x:v>amelia.moore111@northmail.com</x:v>
      </x:c>
      <x:c r="F272" t="str">
        <x:v>213-809-2106</x:v>
      </x:c>
      <x:c r="G272" t="str">
        <x:v>IL</x:v>
      </x:c>
      <x:c r="H272" t="str">
        <x:v>LinkedIn</x:v>
      </x:c>
      <x:c r="I272" t="str">
        <x:v>Opportunity</x:v>
      </x:c>
      <x:c r="J272" t="str">
        <x:v>Taylor Morgan</x:v>
      </x:c>
      <x:c r="K272" s="6" t="n">
        <x:v>46240</x:v>
      </x:c>
      <x:c r="L272" s="6" t="n">
        <x:v>46247</x:v>
      </x:c>
      <x:c r="M272" s="6" t="n">
        <x:v>46266</x:v>
      </x:c>
      <x:c r="N272" s="8" t="n">
        <x:v>29600</x:v>
      </x:c>
      <x:c r="O272" t="str">
        <x:v>Technology</x:v>
      </x:c>
      <x:c r="P272" t="str">
        <x:v>Yes</x:v>
      </x:c>
      <x:c r="Q272" t="str">
        <x:v>No</x:v>
      </x:c>
      <x:c r="R272" s="6"/>
      <x:c r="S272" t="str">
        <x:f>IF(E272="","Unique",IF(COUNTIF($E$2:E272,E272)&gt;1,"Duplicate","Unique"))</x:f>
        <x:v>Unique</x:v>
      </x:c>
      <x:c r="T272" t="str">
        <x:f>IF(J272="Unassigned","Yes","No")</x:f>
        <x:v>No</x:v>
      </x:c>
      <x:c r="U272" t="str">
        <x:f>IF(AND(E272="",F272=""),"Yes","No")</x:f>
        <x:v>No</x:v>
      </x:c>
      <x:c r="V272" t="str">
        <x:f>IF(AND('Dashboard'!$B$2-L272&gt;30,I272&lt;&gt;"Closed Won",I272&lt;&gt;"Closed Lost"),"Yes","No")</x:f>
        <x:v>No</x:v>
      </x:c>
      <x:c r="W272" t="str">
        <x:f>IF(AND(M272&lt;&gt;"",M272&lt;'Dashboard'!$B$2,I272&lt;&gt;"Closed Won",I272&lt;&gt;"Closed Lost"),"Yes","No")</x:f>
        <x:v>No</x:v>
      </x:c>
      <x:c r="X272" t="str">
        <x:f>IF(OR(S272="Duplicate",T272="Yes",U272="Yes",D272="Unknown",W272="Yes"),"Yes","No")</x:f>
        <x:v>No</x:v>
      </x:c>
      <x:c r="Y272" t="n">
        <x:f>IF(S272="Duplicate",0,1)</x:f>
        <x:v>1</x:v>
      </x:c>
    </x:row>
    <x:row r="273">
      <x:c r="A273" t="str">
        <x:v>L-0272</x:v>
      </x:c>
      <x:c r="B273" t="str">
        <x:v>Evelyn</x:v>
      </x:c>
      <x:c r="C273" t="str">
        <x:v>Anderson</x:v>
      </x:c>
      <x:c r="D273" t="str">
        <x:v>Evergreen Services</x:v>
      </x:c>
      <x:c r="E273" t="str">
        <x:v>evelyn.anderson695@examplebiz.com</x:v>
      </x:c>
      <x:c r="F273" t="str">
        <x:v>(259) 443-9308</x:v>
      </x:c>
      <x:c r="G273" t="str">
        <x:v>CA</x:v>
      </x:c>
      <x:c r="H273" t="str">
        <x:v>Webinar</x:v>
      </x:c>
      <x:c r="I273" t="str">
        <x:v>Opportunity</x:v>
      </x:c>
      <x:c r="J273" t="str">
        <x:v>Jamie Brooks</x:v>
      </x:c>
      <x:c r="K273" s="6" t="n">
        <x:v>46172</x:v>
      </x:c>
      <x:c r="L273" s="6" t="n">
        <x:v>46219</x:v>
      </x:c>
      <x:c r="M273" s="6" t="n">
        <x:v>46222</x:v>
      </x:c>
      <x:c r="N273" s="8" t="n">
        <x:v>45200</x:v>
      </x:c>
      <x:c r="O273" t="str">
        <x:v>Manufacturing</x:v>
      </x:c>
      <x:c r="P273" t="str">
        <x:v>Yes</x:v>
      </x:c>
      <x:c r="Q273" t="str">
        <x:v>No</x:v>
      </x:c>
      <x:c r="R273" s="6"/>
      <x:c r="S273" t="str">
        <x:f>IF(E273="","Unique",IF(COUNTIF($E$2:E273,E273)&gt;1,"Duplicate","Unique"))</x:f>
        <x:v>Unique</x:v>
      </x:c>
      <x:c r="T273" t="str">
        <x:f>IF(J273="Unassigned","Yes","No")</x:f>
        <x:v>No</x:v>
      </x:c>
      <x:c r="U273" t="str">
        <x:f>IF(AND(E273="",F273=""),"Yes","No")</x:f>
        <x:v>No</x:v>
      </x:c>
      <x:c r="V273" t="str">
        <x:f>IF(AND('Dashboard'!$B$2-L273&gt;30,I273&lt;&gt;"Closed Won",I273&lt;&gt;"Closed Lost"),"Yes","No")</x:f>
        <x:v>Yes</x:v>
      </x:c>
      <x:c r="W273" t="str">
        <x:f>IF(AND(M273&lt;&gt;"",M273&lt;'Dashboard'!$B$2,I273&lt;&gt;"Closed Won",I273&lt;&gt;"Closed Lost"),"Yes","No")</x:f>
        <x:v>Yes</x:v>
      </x:c>
      <x:c r="X273" t="str">
        <x:f>IF(OR(S273="Duplicate",T273="Yes",U273="Yes",D273="Unknown",W273="Yes"),"Yes","No")</x:f>
        <x:v>Yes</x:v>
      </x:c>
      <x:c r="Y273" t="n">
        <x:f>IF(S273="Duplicate",0,1)</x:f>
        <x:v>1</x:v>
      </x:c>
    </x:row>
    <x:row r="274">
      <x:c r="A274" t="str">
        <x:v>L-0273</x:v>
      </x:c>
      <x:c r="B274" t="str">
        <x:v>Luna</x:v>
      </x:c>
      <x:c r="C274" t="str">
        <x:v>Perez</x:v>
      </x:c>
      <x:c r="D274" t="str">
        <x:v>Redstone Consulting</x:v>
      </x:c>
      <x:c r="E274" t="str">
        <x:v>luna.perez655@examplebiz.com</x:v>
      </x:c>
      <x:c r="F274" t="str">
        <x:v>910-435-8643</x:v>
      </x:c>
      <x:c r="G274" t="str">
        <x:v>AZ</x:v>
      </x:c>
      <x:c r="H274" t="str">
        <x:v>Referral</x:v>
      </x:c>
      <x:c r="I274" t="str">
        <x:v>New</x:v>
      </x:c>
      <x:c r="J274" t="str">
        <x:v>Jordan Lee</x:v>
      </x:c>
      <x:c r="K274" s="6" t="n">
        <x:v>46044</x:v>
      </x:c>
      <x:c r="L274" s="6" t="n">
        <x:v>46054</x:v>
      </x:c>
      <x:c r="M274" s="6" t="n">
        <x:v>46072</x:v>
      </x:c>
      <x:c r="N274" s="8" t="n">
        <x:v>20600</x:v>
      </x:c>
      <x:c r="O274" t="str">
        <x:v>Financial Services</x:v>
      </x:c>
      <x:c r="P274" t="str">
        <x:v>No</x:v>
      </x:c>
      <x:c r="Q274" t="str">
        <x:v>No</x:v>
      </x:c>
      <x:c r="R274" s="6"/>
      <x:c r="S274" t="str">
        <x:f>IF(E274="","Unique",IF(COUNTIF($E$2:E274,E274)&gt;1,"Duplicate","Unique"))</x:f>
        <x:v>Unique</x:v>
      </x:c>
      <x:c r="T274" t="str">
        <x:f>IF(J274="Unassigned","Yes","No")</x:f>
        <x:v>No</x:v>
      </x:c>
      <x:c r="U274" t="str">
        <x:f>IF(AND(E274="",F274=""),"Yes","No")</x:f>
        <x:v>No</x:v>
      </x:c>
      <x:c r="V274" t="str">
        <x:f>IF(AND('Dashboard'!$B$2-L274&gt;30,I274&lt;&gt;"Closed Won",I274&lt;&gt;"Closed Lost"),"Yes","No")</x:f>
        <x:v>Yes</x:v>
      </x:c>
      <x:c r="W274" t="str">
        <x:f>IF(AND(M274&lt;&gt;"",M274&lt;'Dashboard'!$B$2,I274&lt;&gt;"Closed Won",I274&lt;&gt;"Closed Lost"),"Yes","No")</x:f>
        <x:v>Yes</x:v>
      </x:c>
      <x:c r="X274" t="str">
        <x:f>IF(OR(S274="Duplicate",T274="Yes",U274="Yes",D274="Unknown",W274="Yes"),"Yes","No")</x:f>
        <x:v>Yes</x:v>
      </x:c>
      <x:c r="Y274" t="n">
        <x:f>IF(S274="Duplicate",0,1)</x:f>
        <x:v>1</x:v>
      </x:c>
    </x:row>
    <x:row r="275">
      <x:c r="A275" t="str">
        <x:v>L-0274</x:v>
      </x:c>
      <x:c r="B275" t="str">
        <x:v>Lucas</x:v>
      </x:c>
      <x:c r="C275" t="str">
        <x:v>Moore</x:v>
      </x:c>
      <x:c r="D275" t="str">
        <x:v>Apex Manufacturing</x:v>
      </x:c>
      <x:c r="E275" t="str">
        <x:v>lucas.moore179@prospect.co</x:v>
      </x:c>
      <x:c r="F275" t="str">
        <x:v>(768) 451-3925</x:v>
      </x:c>
      <x:c r="G275" t="str">
        <x:v>CO</x:v>
      </x:c>
      <x:c r="H275" t="str">
        <x:v>Outbound</x:v>
      </x:c>
      <x:c r="I275" t="str">
        <x:v>New</x:v>
      </x:c>
      <x:c r="J275" t="str">
        <x:v>Jamie Brooks</x:v>
      </x:c>
      <x:c r="K275" s="6" t="n">
        <x:v>46174</x:v>
      </x:c>
      <x:c r="L275" s="6" t="n">
        <x:v>46196</x:v>
      </x:c>
      <x:c r="M275" s="6" t="n">
        <x:v>46206</x:v>
      </x:c>
      <x:c r="N275" s="8" t="n">
        <x:v>75500</x:v>
      </x:c>
      <x:c r="O275" t="str">
        <x:v>Biotech</x:v>
      </x:c>
      <x:c r="P275" t="str">
        <x:v>No</x:v>
      </x:c>
      <x:c r="Q275" t="str">
        <x:v>No</x:v>
      </x:c>
      <x:c r="R275" s="6"/>
      <x:c r="S275" t="str">
        <x:f>IF(E275="","Unique",IF(COUNTIF($E$2:E275,E275)&gt;1,"Duplicate","Unique"))</x:f>
        <x:v>Unique</x:v>
      </x:c>
      <x:c r="T275" t="str">
        <x:f>IF(J275="Unassigned","Yes","No")</x:f>
        <x:v>No</x:v>
      </x:c>
      <x:c r="U275" t="str">
        <x:f>IF(AND(E275="",F275=""),"Yes","No")</x:f>
        <x:v>No</x:v>
      </x:c>
      <x:c r="V275" t="str">
        <x:f>IF(AND('Dashboard'!$B$2-L275&gt;30,I275&lt;&gt;"Closed Won",I275&lt;&gt;"Closed Lost"),"Yes","No")</x:f>
        <x:v>Yes</x:v>
      </x:c>
      <x:c r="W275" t="str">
        <x:f>IF(AND(M275&lt;&gt;"",M275&lt;'Dashboard'!$B$2,I275&lt;&gt;"Closed Won",I275&lt;&gt;"Closed Lost"),"Yes","No")</x:f>
        <x:v>Yes</x:v>
      </x:c>
      <x:c r="X275" t="str">
        <x:f>IF(OR(S275="Duplicate",T275="Yes",U275="Yes",D275="Unknown",W275="Yes"),"Yes","No")</x:f>
        <x:v>Yes</x:v>
      </x:c>
      <x:c r="Y275" t="n">
        <x:f>IF(S275="Duplicate",0,1)</x:f>
        <x:v>1</x:v>
      </x:c>
    </x:row>
    <x:row r="276">
      <x:c r="A276" t="str">
        <x:v>L-0275</x:v>
      </x:c>
      <x:c r="B276" t="str">
        <x:v>Evelyn</x:v>
      </x:c>
      <x:c r="C276" t="str">
        <x:v>Thompson</x:v>
      </x:c>
      <x:c r="D276" t="str">
        <x:v>Vertex Solutions</x:v>
      </x:c>
      <x:c r="E276" t="str">
        <x:v>evelyn.thompson712@prospect.co</x:v>
      </x:c>
      <x:c r="F276" t="str">
        <x:v>(526) 813-8037</x:v>
      </x:c>
      <x:c r="G276" t="str">
        <x:v>TX</x:v>
      </x:c>
      <x:c r="H276" t="str">
        <x:v>Website</x:v>
      </x:c>
      <x:c r="I276" t="str">
        <x:v>Closed Lost</x:v>
      </x:c>
      <x:c r="J276" t="str">
        <x:v>Morgan Reed</x:v>
      </x:c>
      <x:c r="K276" s="6" t="n">
        <x:v>46043</x:v>
      </x:c>
      <x:c r="L276" s="6" t="n">
        <x:v>46091</x:v>
      </x:c>
      <x:c r="M276" s="6"/>
      <x:c r="N276" s="8" t="n">
        <x:v>18300</x:v>
      </x:c>
      <x:c r="O276" t="str">
        <x:v>Technology</x:v>
      </x:c>
      <x:c r="P276" t="str">
        <x:v>Yes</x:v>
      </x:c>
      <x:c r="Q276" t="str">
        <x:v>No</x:v>
      </x:c>
      <x:c r="R276" s="6" t="n">
        <x:v>46093</x:v>
      </x:c>
      <x:c r="S276" t="str">
        <x:f>IF(E276="","Unique",IF(COUNTIF($E$2:E276,E276)&gt;1,"Duplicate","Unique"))</x:f>
        <x:v>Unique</x:v>
      </x:c>
      <x:c r="T276" t="str">
        <x:f>IF(J276="Unassigned","Yes","No")</x:f>
        <x:v>No</x:v>
      </x:c>
      <x:c r="U276" t="str">
        <x:f>IF(AND(E276="",F276=""),"Yes","No")</x:f>
        <x:v>No</x:v>
      </x:c>
      <x:c r="V276" t="str">
        <x:f>IF(AND('Dashboard'!$B$2-L276&gt;30,I276&lt;&gt;"Closed Won",I276&lt;&gt;"Closed Lost"),"Yes","No")</x:f>
        <x:v>No</x:v>
      </x:c>
      <x:c r="W276" t="str">
        <x:f>IF(AND(M276&lt;&gt;"",M276&lt;'Dashboard'!$B$2,I276&lt;&gt;"Closed Won",I276&lt;&gt;"Closed Lost"),"Yes","No")</x:f>
        <x:v>No</x:v>
      </x:c>
      <x:c r="X276" t="str">
        <x:f>IF(OR(S276="Duplicate",T276="Yes",U276="Yes",D276="Unknown",W276="Yes"),"Yes","No")</x:f>
        <x:v>No</x:v>
      </x:c>
      <x:c r="Y276" t="n">
        <x:f>IF(S276="Duplicate",0,1)</x:f>
        <x:v>1</x:v>
      </x:c>
    </x:row>
    <x:row r="277">
      <x:c r="A277" t="str">
        <x:v>L-0276</x:v>
      </x:c>
      <x:c r="B277" t="str">
        <x:v>Benjamin</x:v>
      </x:c>
      <x:c r="C277" t="str">
        <x:v>Thompson</x:v>
      </x:c>
      <x:c r="D277" t="str">
        <x:v>Brightpath Health</x:v>
      </x:c>
      <x:c r="E277" t="str">
        <x:v>benjamin.thompson476@examplebiz.com</x:v>
      </x:c>
      <x:c r="F277" t="str">
        <x:v>(530) 929-7125</x:v>
      </x:c>
      <x:c r="G277" t="str">
        <x:v>GA</x:v>
      </x:c>
      <x:c r="H277" t="str">
        <x:v>Referral</x:v>
      </x:c>
      <x:c r="I277" t="str">
        <x:v>Closed Won</x:v>
      </x:c>
      <x:c r="J277" t="str">
        <x:v>Alex Kim</x:v>
      </x:c>
      <x:c r="K277" s="6" t="n">
        <x:v>46054</x:v>
      </x:c>
      <x:c r="L277" s="6" t="n">
        <x:v>46184</x:v>
      </x:c>
      <x:c r="M277" s="6"/>
      <x:c r="N277" s="8" t="n">
        <x:v>33400</x:v>
      </x:c>
      <x:c r="O277" t="str">
        <x:v>Manufacturing</x:v>
      </x:c>
      <x:c r="P277" t="str">
        <x:v>Yes</x:v>
      </x:c>
      <x:c r="Q277" t="str">
        <x:v>Yes</x:v>
      </x:c>
      <x:c r="R277" s="6" t="n">
        <x:v>46184</x:v>
      </x:c>
      <x:c r="S277" t="str">
        <x:f>IF(E277="","Unique",IF(COUNTIF($E$2:E277,E277)&gt;1,"Duplicate","Unique"))</x:f>
        <x:v>Unique</x:v>
      </x:c>
      <x:c r="T277" t="str">
        <x:f>IF(J277="Unassigned","Yes","No")</x:f>
        <x:v>No</x:v>
      </x:c>
      <x:c r="U277" t="str">
        <x:f>IF(AND(E277="",F277=""),"Yes","No")</x:f>
        <x:v>No</x:v>
      </x:c>
      <x:c r="V277" t="str">
        <x:f>IF(AND('Dashboard'!$B$2-L277&gt;30,I277&lt;&gt;"Closed Won",I277&lt;&gt;"Closed Lost"),"Yes","No")</x:f>
        <x:v>No</x:v>
      </x:c>
      <x:c r="W277" t="str">
        <x:f>IF(AND(M277&lt;&gt;"",M277&lt;'Dashboard'!$B$2,I277&lt;&gt;"Closed Won",I277&lt;&gt;"Closed Lost"),"Yes","No")</x:f>
        <x:v>No</x:v>
      </x:c>
      <x:c r="X277" t="str">
        <x:f>IF(OR(S277="Duplicate",T277="Yes",U277="Yes",D277="Unknown",W277="Yes"),"Yes","No")</x:f>
        <x:v>No</x:v>
      </x:c>
      <x:c r="Y277" t="n">
        <x:f>IF(S277="Duplicate",0,1)</x:f>
        <x:v>1</x:v>
      </x:c>
    </x:row>
    <x:row r="278">
      <x:c r="A278" t="str">
        <x:v>L-0277</x:v>
      </x:c>
      <x:c r="B278" t="str">
        <x:v>Logan</x:v>
      </x:c>
      <x:c r="C278" t="str">
        <x:v>Rodriguez</x:v>
      </x:c>
      <x:c r="D278" t="str">
        <x:v>Brightpath Health</x:v>
      </x:c>
      <x:c r="E278" t="str">
        <x:v>logan.rodriguez437@mailhub.net</x:v>
      </x:c>
      <x:c r="F278" t="str"/>
      <x:c r="G278" t="str">
        <x:v>TX</x:v>
      </x:c>
      <x:c r="H278" t="str">
        <x:v>Referral</x:v>
      </x:c>
      <x:c r="I278" t="str">
        <x:v>Qualified</x:v>
      </x:c>
      <x:c r="J278" t="str">
        <x:v>Casey Patel</x:v>
      </x:c>
      <x:c r="K278" s="6" t="n">
        <x:v>46188</x:v>
      </x:c>
      <x:c r="L278" s="6" t="n">
        <x:v>46193</x:v>
      </x:c>
      <x:c r="M278" s="6" t="n">
        <x:v>46210</x:v>
      </x:c>
      <x:c r="N278" s="8" t="n">
        <x:v>44800</x:v>
      </x:c>
      <x:c r="O278" t="str">
        <x:v>Manufacturing</x:v>
      </x:c>
      <x:c r="P278" t="str">
        <x:v>Yes</x:v>
      </x:c>
      <x:c r="Q278" t="str">
        <x:v>No</x:v>
      </x:c>
      <x:c r="R278" s="6"/>
      <x:c r="S278" t="str">
        <x:f>IF(E278="","Unique",IF(COUNTIF($E$2:E278,E278)&gt;1,"Duplicate","Unique"))</x:f>
        <x:v>Unique</x:v>
      </x:c>
      <x:c r="T278" t="str">
        <x:f>IF(J278="Unassigned","Yes","No")</x:f>
        <x:v>No</x:v>
      </x:c>
      <x:c r="U278" t="str">
        <x:f>IF(AND(E278="",F278=""),"Yes","No")</x:f>
        <x:v>No</x:v>
      </x:c>
      <x:c r="V278" t="str">
        <x:f>IF(AND('Dashboard'!$B$2-L278&gt;30,I278&lt;&gt;"Closed Won",I278&lt;&gt;"Closed Lost"),"Yes","No")</x:f>
        <x:v>Yes</x:v>
      </x:c>
      <x:c r="W278" t="str">
        <x:f>IF(AND(M278&lt;&gt;"",M278&lt;'Dashboard'!$B$2,I278&lt;&gt;"Closed Won",I278&lt;&gt;"Closed Lost"),"Yes","No")</x:f>
        <x:v>Yes</x:v>
      </x:c>
      <x:c r="X278" t="str">
        <x:f>IF(OR(S278="Duplicate",T278="Yes",U278="Yes",D278="Unknown",W278="Yes"),"Yes","No")</x:f>
        <x:v>Yes</x:v>
      </x:c>
      <x:c r="Y278" t="n">
        <x:f>IF(S278="Duplicate",0,1)</x:f>
        <x:v>1</x:v>
      </x:c>
    </x:row>
    <x:row r="279">
      <x:c r="A279" t="str">
        <x:v>L-0278</x:v>
      </x:c>
      <x:c r="B279" t="str">
        <x:v>Noah</x:v>
      </x:c>
      <x:c r="C279" t="str">
        <x:v>Brown</x:v>
      </x:c>
      <x:c r="D279" t="str">
        <x:v>Brightpath Health</x:v>
      </x:c>
      <x:c r="E279" t="str"/>
      <x:c r="F279" t="str"/>
      <x:c r="G279" t="str">
        <x:v>CO</x:v>
      </x:c>
      <x:c r="H279" t="str">
        <x:v>Trade Show</x:v>
      </x:c>
      <x:c r="I279" t="str">
        <x:v>Contacted</x:v>
      </x:c>
      <x:c r="J279" t="str">
        <x:v>Jamie Brooks</x:v>
      </x:c>
      <x:c r="K279" s="6" t="n">
        <x:v>46074</x:v>
      </x:c>
      <x:c r="L279" s="6" t="n">
        <x:v>46158</x:v>
      </x:c>
      <x:c r="M279" s="6" t="n">
        <x:v>46169</x:v>
      </x:c>
      <x:c r="N279" s="8" t="n">
        <x:v>27500</x:v>
      </x:c>
      <x:c r="O279" t="str">
        <x:v>Biotech</x:v>
      </x:c>
      <x:c r="P279" t="str">
        <x:v>No</x:v>
      </x:c>
      <x:c r="Q279" t="str">
        <x:v>No</x:v>
      </x:c>
      <x:c r="R279" s="6"/>
      <x:c r="S279" t="str">
        <x:f>IF(E279="","Unique",IF(COUNTIF($E$2:E279,E279)&gt;1,"Duplicate","Unique"))</x:f>
        <x:v>Unique</x:v>
      </x:c>
      <x:c r="T279" t="str">
        <x:f>IF(J279="Unassigned","Yes","No")</x:f>
        <x:v>No</x:v>
      </x:c>
      <x:c r="U279" t="str">
        <x:f>IF(AND(E279="",F279=""),"Yes","No")</x:f>
        <x:v>Yes</x:v>
      </x:c>
      <x:c r="V279" t="str">
        <x:f>IF(AND('Dashboard'!$B$2-L279&gt;30,I279&lt;&gt;"Closed Won",I279&lt;&gt;"Closed Lost"),"Yes","No")</x:f>
        <x:v>Yes</x:v>
      </x:c>
      <x:c r="W279" t="str">
        <x:f>IF(AND(M279&lt;&gt;"",M279&lt;'Dashboard'!$B$2,I279&lt;&gt;"Closed Won",I279&lt;&gt;"Closed Lost"),"Yes","No")</x:f>
        <x:v>Yes</x:v>
      </x:c>
      <x:c r="X279" t="str">
        <x:f>IF(OR(S279="Duplicate",T279="Yes",U279="Yes",D279="Unknown",W279="Yes"),"Yes","No")</x:f>
        <x:v>Yes</x:v>
      </x:c>
      <x:c r="Y279" t="n">
        <x:f>IF(S279="Duplicate",0,1)</x:f>
        <x:v>1</x:v>
      </x:c>
    </x:row>
    <x:row r="280">
      <x:c r="A280" t="str">
        <x:v>L-0279</x:v>
      </x:c>
      <x:c r="B280" t="str">
        <x:v>Emma</x:v>
      </x:c>
      <x:c r="C280" t="str">
        <x:v>Thomas</x:v>
      </x:c>
      <x:c r="D280" t="str">
        <x:v>Clearview Media</x:v>
      </x:c>
      <x:c r="E280" t="str">
        <x:v>emma.thomas321@examplebiz.com</x:v>
      </x:c>
      <x:c r="F280" t="str">
        <x:v>(640) 988-7843</x:v>
      </x:c>
      <x:c r="G280" t="str">
        <x:v>PA</x:v>
      </x:c>
      <x:c r="H280" t="str">
        <x:v>LinkedIn</x:v>
      </x:c>
      <x:c r="I280" t="str">
        <x:v>Qualified</x:v>
      </x:c>
      <x:c r="J280" t="str">
        <x:v>Jordan Lee</x:v>
      </x:c>
      <x:c r="K280" s="6" t="n">
        <x:v>46114</x:v>
      </x:c>
      <x:c r="L280" s="6" t="n">
        <x:v>46233</x:v>
      </x:c>
      <x:c r="M280" s="6" t="n">
        <x:v>46250</x:v>
      </x:c>
      <x:c r="N280" s="8" t="n">
        <x:v>30600</x:v>
      </x:c>
      <x:c r="O280" t="str">
        <x:v>Retail</x:v>
      </x:c>
      <x:c r="P280" t="str">
        <x:v>Yes</x:v>
      </x:c>
      <x:c r="Q280" t="str">
        <x:v>No</x:v>
      </x:c>
      <x:c r="R280" s="6"/>
      <x:c r="S280" t="str">
        <x:f>IF(E280="","Unique",IF(COUNTIF($E$2:E280,E280)&gt;1,"Duplicate","Unique"))</x:f>
        <x:v>Unique</x:v>
      </x:c>
      <x:c r="T280" t="str">
        <x:f>IF(J280="Unassigned","Yes","No")</x:f>
        <x:v>No</x:v>
      </x:c>
      <x:c r="U280" t="str">
        <x:f>IF(AND(E280="",F280=""),"Yes","No")</x:f>
        <x:v>No</x:v>
      </x:c>
      <x:c r="V280" t="str">
        <x:f>IF(AND('Dashboard'!$B$2-L280&gt;30,I280&lt;&gt;"Closed Won",I280&lt;&gt;"Closed Lost"),"Yes","No")</x:f>
        <x:v>No</x:v>
      </x:c>
      <x:c r="W280" t="str">
        <x:f>IF(AND(M280&lt;&gt;"",M280&lt;'Dashboard'!$B$2,I280&lt;&gt;"Closed Won",I280&lt;&gt;"Closed Lost"),"Yes","No")</x:f>
        <x:v>Yes</x:v>
      </x:c>
      <x:c r="X280" t="str">
        <x:f>IF(OR(S280="Duplicate",T280="Yes",U280="Yes",D280="Unknown",W280="Yes"),"Yes","No")</x:f>
        <x:v>Yes</x:v>
      </x:c>
      <x:c r="Y280" t="n">
        <x:f>IF(S280="Duplicate",0,1)</x:f>
        <x:v>1</x:v>
      </x:c>
    </x:row>
    <x:row r="281">
      <x:c r="A281" t="str">
        <x:v>L-0280</x:v>
      </x:c>
      <x:c r="B281" t="str">
        <x:v>Amelia</x:v>
      </x:c>
      <x:c r="C281" t="str">
        <x:v>Lee</x:v>
      </x:c>
      <x:c r="D281" t="str">
        <x:v>Unknown</x:v>
      </x:c>
      <x:c r="E281" t="str">
        <x:v>amelia.lee582@mailhub.net</x:v>
      </x:c>
      <x:c r="F281" t="str">
        <x:v>591-409-7400</x:v>
      </x:c>
      <x:c r="G281" t="str">
        <x:v>WA</x:v>
      </x:c>
      <x:c r="H281" t="str">
        <x:v>Website</x:v>
      </x:c>
      <x:c r="I281" t="str">
        <x:v>Closed Won</x:v>
      </x:c>
      <x:c r="J281" t="str">
        <x:v>Casey Patel</x:v>
      </x:c>
      <x:c r="K281" s="6" t="n">
        <x:v>46211</x:v>
      </x:c>
      <x:c r="L281" s="6" t="n">
        <x:v>46220</x:v>
      </x:c>
      <x:c r="M281" s="6"/>
      <x:c r="N281" s="8" t="n">
        <x:v>83100</x:v>
      </x:c>
      <x:c r="O281" t="str">
        <x:v>Biotech</x:v>
      </x:c>
      <x:c r="P281" t="str">
        <x:v>Yes</x:v>
      </x:c>
      <x:c r="Q281" t="str">
        <x:v>Yes</x:v>
      </x:c>
      <x:c r="R281" s="6" t="n">
        <x:v>46224</x:v>
      </x:c>
      <x:c r="S281" t="str">
        <x:f>IF(E281="","Unique",IF(COUNTIF($E$2:E281,E281)&gt;1,"Duplicate","Unique"))</x:f>
        <x:v>Unique</x:v>
      </x:c>
      <x:c r="T281" t="str">
        <x:f>IF(J281="Unassigned","Yes","No")</x:f>
        <x:v>No</x:v>
      </x:c>
      <x:c r="U281" t="str">
        <x:f>IF(AND(E281="",F281=""),"Yes","No")</x:f>
        <x:v>No</x:v>
      </x:c>
      <x:c r="V281" t="str">
        <x:f>IF(AND('Dashboard'!$B$2-L281&gt;30,I281&lt;&gt;"Closed Won",I281&lt;&gt;"Closed Lost"),"Yes","No")</x:f>
        <x:v>No</x:v>
      </x:c>
      <x:c r="W281" t="str">
        <x:f>IF(AND(M281&lt;&gt;"",M281&lt;'Dashboard'!$B$2,I281&lt;&gt;"Closed Won",I281&lt;&gt;"Closed Lost"),"Yes","No")</x:f>
        <x:v>No</x:v>
      </x:c>
      <x:c r="X281" t="str">
        <x:f>IF(OR(S281="Duplicate",T281="Yes",U281="Yes",D281="Unknown",W281="Yes"),"Yes","No")</x:f>
        <x:v>Yes</x:v>
      </x:c>
      <x:c r="Y281" t="n">
        <x:f>IF(S281="Duplicate",0,1)</x:f>
        <x:v>1</x:v>
      </x:c>
    </x:row>
    <x:row r="282">
      <x:c r="A282" t="str">
        <x:v>L-0281</x:v>
      </x:c>
      <x:c r="B282" t="str">
        <x:v>Mia</x:v>
      </x:c>
      <x:c r="C282" t="str">
        <x:v>Thomas</x:v>
      </x:c>
      <x:c r="D282" t="str">
        <x:v>Evergreen Services</x:v>
      </x:c>
      <x:c r="E282" t="str">
        <x:v>mia.thomas335@mailhub.net</x:v>
      </x:c>
      <x:c r="F282" t="str">
        <x:v>(601) 360-2814</x:v>
      </x:c>
      <x:c r="G282" t="str">
        <x:v>FL</x:v>
      </x:c>
      <x:c r="H282" t="str">
        <x:v>Referral</x:v>
      </x:c>
      <x:c r="I282" t="str">
        <x:v>Qualified</x:v>
      </x:c>
      <x:c r="J282" t="str">
        <x:v>Taylor Morgan</x:v>
      </x:c>
      <x:c r="K282" s="6" t="n">
        <x:v>46130</x:v>
      </x:c>
      <x:c r="L282" s="6" t="n">
        <x:v>46137</x:v>
      </x:c>
      <x:c r="M282" s="6" t="n">
        <x:v>46151</x:v>
      </x:c>
      <x:c r="N282" s="8" t="n">
        <x:v>45300</x:v>
      </x:c>
      <x:c r="O282" t="str">
        <x:v>Retail</x:v>
      </x:c>
      <x:c r="P282" t="str">
        <x:v>Yes</x:v>
      </x:c>
      <x:c r="Q282" t="str">
        <x:v>No</x:v>
      </x:c>
      <x:c r="R282" s="6"/>
      <x:c r="S282" t="str">
        <x:f>IF(E282="","Unique",IF(COUNTIF($E$2:E282,E282)&gt;1,"Duplicate","Unique"))</x:f>
        <x:v>Unique</x:v>
      </x:c>
      <x:c r="T282" t="str">
        <x:f>IF(J282="Unassigned","Yes","No")</x:f>
        <x:v>No</x:v>
      </x:c>
      <x:c r="U282" t="str">
        <x:f>IF(AND(E282="",F282=""),"Yes","No")</x:f>
        <x:v>No</x:v>
      </x:c>
      <x:c r="V282" t="str">
        <x:f>IF(AND('Dashboard'!$B$2-L282&gt;30,I282&lt;&gt;"Closed Won",I282&lt;&gt;"Closed Lost"),"Yes","No")</x:f>
        <x:v>Yes</x:v>
      </x:c>
      <x:c r="W282" t="str">
        <x:f>IF(AND(M282&lt;&gt;"",M282&lt;'Dashboard'!$B$2,I282&lt;&gt;"Closed Won",I282&lt;&gt;"Closed Lost"),"Yes","No")</x:f>
        <x:v>Yes</x:v>
      </x:c>
      <x:c r="X282" t="str">
        <x:f>IF(OR(S282="Duplicate",T282="Yes",U282="Yes",D282="Unknown",W282="Yes"),"Yes","No")</x:f>
        <x:v>Yes</x:v>
      </x:c>
      <x:c r="Y282" t="n">
        <x:f>IF(S282="Duplicate",0,1)</x:f>
        <x:v>1</x:v>
      </x:c>
    </x:row>
    <x:row r="283">
      <x:c r="A283" t="str">
        <x:v>L-0282</x:v>
      </x:c>
      <x:c r="B283" t="str">
        <x:v>Harper</x:v>
      </x:c>
      <x:c r="C283" t="str">
        <x:v>Rodriguez</x:v>
      </x:c>
      <x:c r="D283" t="str">
        <x:v>Apex Manufacturing</x:v>
      </x:c>
      <x:c r="E283" t="str">
        <x:v>harper.rodriguez901@mailhub.net</x:v>
      </x:c>
      <x:c r="F283" t="str">
        <x:v>(672) 673-1640</x:v>
      </x:c>
      <x:c r="G283" t="str">
        <x:v>CA</x:v>
      </x:c>
      <x:c r="H283" t="str">
        <x:v>Webinar</x:v>
      </x:c>
      <x:c r="I283" t="str">
        <x:v>Closed Won</x:v>
      </x:c>
      <x:c r="J283" t="str">
        <x:v>Alex Kim</x:v>
      </x:c>
      <x:c r="K283" s="6" t="n">
        <x:v>46092</x:v>
      </x:c>
      <x:c r="L283" s="6" t="n">
        <x:v>46155</x:v>
      </x:c>
      <x:c r="M283" s="6"/>
      <x:c r="N283" s="8" t="n">
        <x:v>45900</x:v>
      </x:c>
      <x:c r="O283" t="str">
        <x:v>Healthcare</x:v>
      </x:c>
      <x:c r="P283" t="str">
        <x:v>Yes</x:v>
      </x:c>
      <x:c r="Q283" t="str">
        <x:v>Yes</x:v>
      </x:c>
      <x:c r="R283" s="6" t="n">
        <x:v>46159</x:v>
      </x:c>
      <x:c r="S283" t="str">
        <x:f>IF(E283="","Unique",IF(COUNTIF($E$2:E283,E283)&gt;1,"Duplicate","Unique"))</x:f>
        <x:v>Unique</x:v>
      </x:c>
      <x:c r="T283" t="str">
        <x:f>IF(J283="Unassigned","Yes","No")</x:f>
        <x:v>No</x:v>
      </x:c>
      <x:c r="U283" t="str">
        <x:f>IF(AND(E283="",F283=""),"Yes","No")</x:f>
        <x:v>No</x:v>
      </x:c>
      <x:c r="V283" t="str">
        <x:f>IF(AND('Dashboard'!$B$2-L283&gt;30,I283&lt;&gt;"Closed Won",I283&lt;&gt;"Closed Lost"),"Yes","No")</x:f>
        <x:v>No</x:v>
      </x:c>
      <x:c r="W283" t="str">
        <x:f>IF(AND(M283&lt;&gt;"",M283&lt;'Dashboard'!$B$2,I283&lt;&gt;"Closed Won",I283&lt;&gt;"Closed Lost"),"Yes","No")</x:f>
        <x:v>No</x:v>
      </x:c>
      <x:c r="X283" t="str">
        <x:f>IF(OR(S283="Duplicate",T283="Yes",U283="Yes",D283="Unknown",W283="Yes"),"Yes","No")</x:f>
        <x:v>No</x:v>
      </x:c>
      <x:c r="Y283" t="n">
        <x:f>IF(S283="Duplicate",0,1)</x:f>
        <x:v>1</x:v>
      </x:c>
    </x:row>
    <x:row r="284">
      <x:c r="A284" t="str">
        <x:v>L-0283</x:v>
      </x:c>
      <x:c r="B284" t="str">
        <x:v>Ethan</x:v>
      </x:c>
      <x:c r="C284" t="str">
        <x:v>Perez</x:v>
      </x:c>
      <x:c r="D284" t="str">
        <x:v>Summit Analytics</x:v>
      </x:c>
      <x:c r="E284" t="str">
        <x:v>ethan.perez939@northmail.com</x:v>
      </x:c>
      <x:c r="F284" t="str">
        <x:v>(915) 943-4559</x:v>
      </x:c>
      <x:c r="G284" t="str">
        <x:v>PA</x:v>
      </x:c>
      <x:c r="H284" t="str">
        <x:v>Outbound</x:v>
      </x:c>
      <x:c r="I284" t="str">
        <x:v>Contacted</x:v>
      </x:c>
      <x:c r="J284" t="str">
        <x:v>Jamie Brooks</x:v>
      </x:c>
      <x:c r="K284" s="6" t="n">
        <x:v>46206</x:v>
      </x:c>
      <x:c r="L284" s="6" t="n">
        <x:v>46223</x:v>
      </x:c>
      <x:c r="M284" s="6" t="n">
        <x:v>46246</x:v>
      </x:c>
      <x:c r="N284" s="8" t="n">
        <x:v>46900</x:v>
      </x:c>
      <x:c r="O284" t="str">
        <x:v>Professional Services</x:v>
      </x:c>
      <x:c r="P284" t="str">
        <x:v>No</x:v>
      </x:c>
      <x:c r="Q284" t="str">
        <x:v>No</x:v>
      </x:c>
      <x:c r="R284" s="6"/>
      <x:c r="S284" t="str">
        <x:f>IF(E284="","Unique",IF(COUNTIF($E$2:E284,E284)&gt;1,"Duplicate","Unique"))</x:f>
        <x:v>Unique</x:v>
      </x:c>
      <x:c r="T284" t="str">
        <x:f>IF(J284="Unassigned","Yes","No")</x:f>
        <x:v>No</x:v>
      </x:c>
      <x:c r="U284" t="str">
        <x:f>IF(AND(E284="",F284=""),"Yes","No")</x:f>
        <x:v>No</x:v>
      </x:c>
      <x:c r="V284" t="str">
        <x:f>IF(AND('Dashboard'!$B$2-L284&gt;30,I284&lt;&gt;"Closed Won",I284&lt;&gt;"Closed Lost"),"Yes","No")</x:f>
        <x:v>No</x:v>
      </x:c>
      <x:c r="W284" t="str">
        <x:f>IF(AND(M284&lt;&gt;"",M284&lt;'Dashboard'!$B$2,I284&lt;&gt;"Closed Won",I284&lt;&gt;"Closed Lost"),"Yes","No")</x:f>
        <x:v>Yes</x:v>
      </x:c>
      <x:c r="X284" t="str">
        <x:f>IF(OR(S284="Duplicate",T284="Yes",U284="Yes",D284="Unknown",W284="Yes"),"Yes","No")</x:f>
        <x:v>Yes</x:v>
      </x:c>
      <x:c r="Y284" t="n">
        <x:f>IF(S284="Duplicate",0,1)</x:f>
        <x:v>1</x:v>
      </x:c>
    </x:row>
    <x:row r="285">
      <x:c r="A285" t="str">
        <x:v>L-0284</x:v>
      </x:c>
      <x:c r="B285" t="str">
        <x:v>Harper</x:v>
      </x:c>
      <x:c r="C285" t="str">
        <x:v>Thomas</x:v>
      </x:c>
      <x:c r="D285" t="str">
        <x:v>Redstone Consulting</x:v>
      </x:c>
      <x:c r="E285" t="str">
        <x:v>harper.thomas497@mailhub.net</x:v>
      </x:c>
      <x:c r="F285" t="str">
        <x:v>(270) 284-9985</x:v>
      </x:c>
      <x:c r="G285" t="str">
        <x:v>FL</x:v>
      </x:c>
      <x:c r="H285" t="str">
        <x:v>Referral</x:v>
      </x:c>
      <x:c r="I285" t="str">
        <x:v>New</x:v>
      </x:c>
      <x:c r="J285" t="str">
        <x:v>Morgan Reed</x:v>
      </x:c>
      <x:c r="K285" s="6" t="n">
        <x:v>46217</x:v>
      </x:c>
      <x:c r="L285" s="6" t="n">
        <x:v>46225</x:v>
      </x:c>
      <x:c r="M285" s="6" t="n">
        <x:v>46238</x:v>
      </x:c>
      <x:c r="N285" s="8" t="n">
        <x:v>57800</x:v>
      </x:c>
      <x:c r="O285" t="str">
        <x:v>Professional Services</x:v>
      </x:c>
      <x:c r="P285" t="str">
        <x:v>No</x:v>
      </x:c>
      <x:c r="Q285" t="str">
        <x:v>No</x:v>
      </x:c>
      <x:c r="R285" s="6"/>
      <x:c r="S285" t="str">
        <x:f>IF(E285="","Unique",IF(COUNTIF($E$2:E285,E285)&gt;1,"Duplicate","Unique"))</x:f>
        <x:v>Unique</x:v>
      </x:c>
      <x:c r="T285" t="str">
        <x:f>IF(J285="Unassigned","Yes","No")</x:f>
        <x:v>No</x:v>
      </x:c>
      <x:c r="U285" t="str">
        <x:f>IF(AND(E285="",F285=""),"Yes","No")</x:f>
        <x:v>No</x:v>
      </x:c>
      <x:c r="V285" t="str">
        <x:f>IF(AND('Dashboard'!$B$2-L285&gt;30,I285&lt;&gt;"Closed Won",I285&lt;&gt;"Closed Lost"),"Yes","No")</x:f>
        <x:v>No</x:v>
      </x:c>
      <x:c r="W285" t="str">
        <x:f>IF(AND(M285&lt;&gt;"",M285&lt;'Dashboard'!$B$2,I285&lt;&gt;"Closed Won",I285&lt;&gt;"Closed Lost"),"Yes","No")</x:f>
        <x:v>Yes</x:v>
      </x:c>
      <x:c r="X285" t="str">
        <x:f>IF(OR(S285="Duplicate",T285="Yes",U285="Yes",D285="Unknown",W285="Yes"),"Yes","No")</x:f>
        <x:v>Yes</x:v>
      </x:c>
      <x:c r="Y285" t="n">
        <x:f>IF(S285="Duplicate",0,1)</x:f>
        <x:v>1</x:v>
      </x:c>
    </x:row>
    <x:row r="286">
      <x:c r="A286" t="str">
        <x:v>L-0285</x:v>
      </x:c>
      <x:c r="B286" t="str">
        <x:v>Ava</x:v>
      </x:c>
      <x:c r="C286" t="str">
        <x:v>Rodriguez</x:v>
      </x:c>
      <x:c r="D286" t="str">
        <x:v>Blue Ridge Supply</x:v>
      </x:c>
      <x:c r="E286" t="str">
        <x:v>ava.rodriguez857@northmail.com</x:v>
      </x:c>
      <x:c r="F286" t="str">
        <x:v>600-906-6051</x:v>
      </x:c>
      <x:c r="G286" t="str">
        <x:v>IL</x:v>
      </x:c>
      <x:c r="H286" t="str">
        <x:v>Website</x:v>
      </x:c>
      <x:c r="I286" t="str">
        <x:v>Opportunity</x:v>
      </x:c>
      <x:c r="J286" t="str">
        <x:v>Jordan Lee</x:v>
      </x:c>
      <x:c r="K286" s="6" t="n">
        <x:v>46074</x:v>
      </x:c>
      <x:c r="L286" s="6" t="n">
        <x:v>46210</x:v>
      </x:c>
      <x:c r="M286" s="6" t="n">
        <x:v>46219</x:v>
      </x:c>
      <x:c r="N286" s="8" t="n">
        <x:v>39000</x:v>
      </x:c>
      <x:c r="O286" t="str">
        <x:v>Logistics</x:v>
      </x:c>
      <x:c r="P286" t="str">
        <x:v>Yes</x:v>
      </x:c>
      <x:c r="Q286" t="str">
        <x:v>No</x:v>
      </x:c>
      <x:c r="R286" s="6"/>
      <x:c r="S286" t="str">
        <x:f>IF(E286="","Unique",IF(COUNTIF($E$2:E286,E286)&gt;1,"Duplicate","Unique"))</x:f>
        <x:v>Unique</x:v>
      </x:c>
      <x:c r="T286" t="str">
        <x:f>IF(J286="Unassigned","Yes","No")</x:f>
        <x:v>No</x:v>
      </x:c>
      <x:c r="U286" t="str">
        <x:f>IF(AND(E286="",F286=""),"Yes","No")</x:f>
        <x:v>No</x:v>
      </x:c>
      <x:c r="V286" t="str">
        <x:f>IF(AND('Dashboard'!$B$2-L286&gt;30,I286&lt;&gt;"Closed Won",I286&lt;&gt;"Closed Lost"),"Yes","No")</x:f>
        <x:v>Yes</x:v>
      </x:c>
      <x:c r="W286" t="str">
        <x:f>IF(AND(M286&lt;&gt;"",M286&lt;'Dashboard'!$B$2,I286&lt;&gt;"Closed Won",I286&lt;&gt;"Closed Lost"),"Yes","No")</x:f>
        <x:v>Yes</x:v>
      </x:c>
      <x:c r="X286" t="str">
        <x:f>IF(OR(S286="Duplicate",T286="Yes",U286="Yes",D286="Unknown",W286="Yes"),"Yes","No")</x:f>
        <x:v>Yes</x:v>
      </x:c>
      <x:c r="Y286" t="n">
        <x:f>IF(S286="Duplicate",0,1)</x:f>
        <x:v>1</x:v>
      </x:c>
    </x:row>
    <x:row r="287">
      <x:c r="A287" t="str">
        <x:v>L-0286</x:v>
      </x:c>
      <x:c r="B287" t="str">
        <x:v>Mason</x:v>
      </x:c>
      <x:c r="C287" t="str">
        <x:v>Brown</x:v>
      </x:c>
      <x:c r="D287" t="str">
        <x:v>Cedarworks</x:v>
      </x:c>
      <x:c r="E287" t="str">
        <x:v>mason.brown213@mailhub.net</x:v>
      </x:c>
      <x:c r="F287" t="str">
        <x:v>(639) 323-4807</x:v>
      </x:c>
      <x:c r="G287" t="str">
        <x:v>CO</x:v>
      </x:c>
      <x:c r="H287" t="str">
        <x:v>Referral</x:v>
      </x:c>
      <x:c r="I287" t="str">
        <x:v>New</x:v>
      </x:c>
      <x:c r="J287" t="str">
        <x:v>Alex Kim</x:v>
      </x:c>
      <x:c r="K287" s="6" t="n">
        <x:v>46163</x:v>
      </x:c>
      <x:c r="L287" s="6" t="n">
        <x:v>46204</x:v>
      </x:c>
      <x:c r="M287" s="6" t="n">
        <x:v>46224</x:v>
      </x:c>
      <x:c r="N287" s="8" t="n">
        <x:v>54200</x:v>
      </x:c>
      <x:c r="O287" t="str">
        <x:v>Manufacturing</x:v>
      </x:c>
      <x:c r="P287" t="str">
        <x:v>No</x:v>
      </x:c>
      <x:c r="Q287" t="str">
        <x:v>No</x:v>
      </x:c>
      <x:c r="R287" s="6"/>
      <x:c r="S287" t="str">
        <x:f>IF(E287="","Unique",IF(COUNTIF($E$2:E287,E287)&gt;1,"Duplicate","Unique"))</x:f>
        <x:v>Unique</x:v>
      </x:c>
      <x:c r="T287" t="str">
        <x:f>IF(J287="Unassigned","Yes","No")</x:f>
        <x:v>No</x:v>
      </x:c>
      <x:c r="U287" t="str">
        <x:f>IF(AND(E287="",F287=""),"Yes","No")</x:f>
        <x:v>No</x:v>
      </x:c>
      <x:c r="V287" t="str">
        <x:f>IF(AND('Dashboard'!$B$2-L287&gt;30,I287&lt;&gt;"Closed Won",I287&lt;&gt;"Closed Lost"),"Yes","No")</x:f>
        <x:v>Yes</x:v>
      </x:c>
      <x:c r="W287" t="str">
        <x:f>IF(AND(M287&lt;&gt;"",M287&lt;'Dashboard'!$B$2,I287&lt;&gt;"Closed Won",I287&lt;&gt;"Closed Lost"),"Yes","No")</x:f>
        <x:v>Yes</x:v>
      </x:c>
      <x:c r="X287" t="str">
        <x:f>IF(OR(S287="Duplicate",T287="Yes",U287="Yes",D287="Unknown",W287="Yes"),"Yes","No")</x:f>
        <x:v>Yes</x:v>
      </x:c>
      <x:c r="Y287" t="n">
        <x:f>IF(S287="Duplicate",0,1)</x:f>
        <x:v>1</x:v>
      </x:c>
    </x:row>
    <x:row r="288">
      <x:c r="A288" t="str">
        <x:v>L-0287</x:v>
      </x:c>
      <x:c r="B288" t="str">
        <x:v>Henry</x:v>
      </x:c>
      <x:c r="C288" t="str">
        <x:v>Jackson</x:v>
      </x:c>
      <x:c r="D288" t="str">
        <x:v>Summit Analytics</x:v>
      </x:c>
      <x:c r="E288" t="str">
        <x:v>henry.jackson137@prospect.co</x:v>
      </x:c>
      <x:c r="F288" t="str"/>
      <x:c r="G288" t="str">
        <x:v>NY</x:v>
      </x:c>
      <x:c r="H288" t="str">
        <x:v>Outbound</x:v>
      </x:c>
      <x:c r="I288" t="str">
        <x:v>Qualified</x:v>
      </x:c>
      <x:c r="J288" t="str">
        <x:v>Jamie Brooks</x:v>
      </x:c>
      <x:c r="K288" s="6" t="n">
        <x:v>46085</x:v>
      </x:c>
      <x:c r="L288" s="6" t="n">
        <x:v>46184</x:v>
      </x:c>
      <x:c r="M288" s="6" t="n">
        <x:v>46208</x:v>
      </x:c>
      <x:c r="N288" s="8" t="n">
        <x:v>78800</x:v>
      </x:c>
      <x:c r="O288" t="str">
        <x:v>Manufacturing</x:v>
      </x:c>
      <x:c r="P288" t="str">
        <x:v>Yes</x:v>
      </x:c>
      <x:c r="Q288" t="str">
        <x:v>No</x:v>
      </x:c>
      <x:c r="R288" s="6"/>
      <x:c r="S288" t="str">
        <x:f>IF(E288="","Unique",IF(COUNTIF($E$2:E288,E288)&gt;1,"Duplicate","Unique"))</x:f>
        <x:v>Unique</x:v>
      </x:c>
      <x:c r="T288" t="str">
        <x:f>IF(J288="Unassigned","Yes","No")</x:f>
        <x:v>No</x:v>
      </x:c>
      <x:c r="U288" t="str">
        <x:f>IF(AND(E288="",F288=""),"Yes","No")</x:f>
        <x:v>No</x:v>
      </x:c>
      <x:c r="V288" t="str">
        <x:f>IF(AND('Dashboard'!$B$2-L288&gt;30,I288&lt;&gt;"Closed Won",I288&lt;&gt;"Closed Lost"),"Yes","No")</x:f>
        <x:v>Yes</x:v>
      </x:c>
      <x:c r="W288" t="str">
        <x:f>IF(AND(M288&lt;&gt;"",M288&lt;'Dashboard'!$B$2,I288&lt;&gt;"Closed Won",I288&lt;&gt;"Closed Lost"),"Yes","No")</x:f>
        <x:v>Yes</x:v>
      </x:c>
      <x:c r="X288" t="str">
        <x:f>IF(OR(S288="Duplicate",T288="Yes",U288="Yes",D288="Unknown",W288="Yes"),"Yes","No")</x:f>
        <x:v>Yes</x:v>
      </x:c>
      <x:c r="Y288" t="n">
        <x:f>IF(S288="Duplicate",0,1)</x:f>
        <x:v>1</x:v>
      </x:c>
    </x:row>
    <x:row r="289">
      <x:c r="A289" t="str">
        <x:v>L-0288</x:v>
      </x:c>
      <x:c r="B289" t="str">
        <x:v>James</x:v>
      </x:c>
      <x:c r="C289" t="str">
        <x:v>Davis</x:v>
      </x:c>
      <x:c r="D289" t="str">
        <x:v>Brightpath Health</x:v>
      </x:c>
      <x:c r="E289" t="str">
        <x:v>james.davis946@mailhub.net</x:v>
      </x:c>
      <x:c r="F289" t="str">
        <x:v>(957) 536-3199</x:v>
      </x:c>
      <x:c r="G289" t="str">
        <x:v>CA</x:v>
      </x:c>
      <x:c r="H289" t="str">
        <x:v>Referral</x:v>
      </x:c>
      <x:c r="I289" t="str">
        <x:v>Contacted</x:v>
      </x:c>
      <x:c r="J289" t="str">
        <x:v>Taylor Morgan</x:v>
      </x:c>
      <x:c r="K289" s="6" t="n">
        <x:v>46208</x:v>
      </x:c>
      <x:c r="L289" s="6" t="n">
        <x:v>46232</x:v>
      </x:c>
      <x:c r="M289" s="6" t="n">
        <x:v>46241</x:v>
      </x:c>
      <x:c r="N289" s="8" t="n">
        <x:v>55500</x:v>
      </x:c>
      <x:c r="O289" t="str">
        <x:v>Healthcare</x:v>
      </x:c>
      <x:c r="P289" t="str">
        <x:v>No</x:v>
      </x:c>
      <x:c r="Q289" t="str">
        <x:v>No</x:v>
      </x:c>
      <x:c r="R289" s="6"/>
      <x:c r="S289" t="str">
        <x:f>IF(E289="","Unique",IF(COUNTIF($E$2:E289,E289)&gt;1,"Duplicate","Unique"))</x:f>
        <x:v>Unique</x:v>
      </x:c>
      <x:c r="T289" t="str">
        <x:f>IF(J289="Unassigned","Yes","No")</x:f>
        <x:v>No</x:v>
      </x:c>
      <x:c r="U289" t="str">
        <x:f>IF(AND(E289="",F289=""),"Yes","No")</x:f>
        <x:v>No</x:v>
      </x:c>
      <x:c r="V289" t="str">
        <x:f>IF(AND('Dashboard'!$B$2-L289&gt;30,I289&lt;&gt;"Closed Won",I289&lt;&gt;"Closed Lost"),"Yes","No")</x:f>
        <x:v>No</x:v>
      </x:c>
      <x:c r="W289" t="str">
        <x:f>IF(AND(M289&lt;&gt;"",M289&lt;'Dashboard'!$B$2,I289&lt;&gt;"Closed Won",I289&lt;&gt;"Closed Lost"),"Yes","No")</x:f>
        <x:v>Yes</x:v>
      </x:c>
      <x:c r="X289" t="str">
        <x:f>IF(OR(S289="Duplicate",T289="Yes",U289="Yes",D289="Unknown",W289="Yes"),"Yes","No")</x:f>
        <x:v>Yes</x:v>
      </x:c>
      <x:c r="Y289" t="n">
        <x:f>IF(S289="Duplicate",0,1)</x:f>
        <x:v>1</x:v>
      </x:c>
    </x:row>
    <x:row r="290">
      <x:c r="A290" t="str">
        <x:v>L-0289</x:v>
      </x:c>
      <x:c r="B290" t="str">
        <x:v>Mason</x:v>
      </x:c>
      <x:c r="C290" t="str">
        <x:v>Thompson</x:v>
      </x:c>
      <x:c r="D290" t="str">
        <x:v>Silverline Foods</x:v>
      </x:c>
      <x:c r="E290" t="str">
        <x:v>mason.thompson961@examplebiz.com</x:v>
      </x:c>
      <x:c r="F290" t="str">
        <x:v>(329) 293-3845</x:v>
      </x:c>
      <x:c r="G290" t="str">
        <x:v>CA</x:v>
      </x:c>
      <x:c r="H290" t="str">
        <x:v>Webinar</x:v>
      </x:c>
      <x:c r="I290" t="str">
        <x:v>New</x:v>
      </x:c>
      <x:c r="J290" t="str">
        <x:v>Taylor Morgan</x:v>
      </x:c>
      <x:c r="K290" s="6" t="n">
        <x:v>46121</x:v>
      </x:c>
      <x:c r="L290" s="6" t="n">
        <x:v>46138</x:v>
      </x:c>
      <x:c r="M290" s="6" t="n">
        <x:v>46147</x:v>
      </x:c>
      <x:c r="N290" s="8" t="n">
        <x:v>6800</x:v>
      </x:c>
      <x:c r="O290" t="str">
        <x:v>Biotech</x:v>
      </x:c>
      <x:c r="P290" t="str">
        <x:v>No</x:v>
      </x:c>
      <x:c r="Q290" t="str">
        <x:v>No</x:v>
      </x:c>
      <x:c r="R290" s="6"/>
      <x:c r="S290" t="str">
        <x:f>IF(E290="","Unique",IF(COUNTIF($E$2:E290,E290)&gt;1,"Duplicate","Unique"))</x:f>
        <x:v>Unique</x:v>
      </x:c>
      <x:c r="T290" t="str">
        <x:f>IF(J290="Unassigned","Yes","No")</x:f>
        <x:v>No</x:v>
      </x:c>
      <x:c r="U290" t="str">
        <x:f>IF(AND(E290="",F290=""),"Yes","No")</x:f>
        <x:v>No</x:v>
      </x:c>
      <x:c r="V290" t="str">
        <x:f>IF(AND('Dashboard'!$B$2-L290&gt;30,I290&lt;&gt;"Closed Won",I290&lt;&gt;"Closed Lost"),"Yes","No")</x:f>
        <x:v>Yes</x:v>
      </x:c>
      <x:c r="W290" t="str">
        <x:f>IF(AND(M290&lt;&gt;"",M290&lt;'Dashboard'!$B$2,I290&lt;&gt;"Closed Won",I290&lt;&gt;"Closed Lost"),"Yes","No")</x:f>
        <x:v>Yes</x:v>
      </x:c>
      <x:c r="X290" t="str">
        <x:f>IF(OR(S290="Duplicate",T290="Yes",U290="Yes",D290="Unknown",W290="Yes"),"Yes","No")</x:f>
        <x:v>Yes</x:v>
      </x:c>
      <x:c r="Y290" t="n">
        <x:f>IF(S290="Duplicate",0,1)</x:f>
        <x:v>1</x:v>
      </x:c>
    </x:row>
    <x:row r="291">
      <x:c r="A291" t="str">
        <x:v>L-0290</x:v>
      </x:c>
      <x:c r="B291" t="str">
        <x:v>Olivia</x:v>
      </x:c>
      <x:c r="C291" t="str">
        <x:v>Rodriguez</x:v>
      </x:c>
      <x:c r="D291" t="str">
        <x:v>Atlas Commerce</x:v>
      </x:c>
      <x:c r="E291" t="str">
        <x:v>olivia.rodriguez779@examplebiz.com</x:v>
      </x:c>
      <x:c r="F291" t="str">
        <x:v>(694) 220-7249</x:v>
      </x:c>
      <x:c r="G291" t="str">
        <x:v>IL</x:v>
      </x:c>
      <x:c r="H291" t="str">
        <x:v>Referral</x:v>
      </x:c>
      <x:c r="I291" t="str">
        <x:v>New</x:v>
      </x:c>
      <x:c r="J291" t="str">
        <x:v>Morgan Reed</x:v>
      </x:c>
      <x:c r="K291" s="6" t="n">
        <x:v>46134</x:v>
      </x:c>
      <x:c r="L291" s="6" t="n">
        <x:v>46188</x:v>
      </x:c>
      <x:c r="M291" s="6" t="n">
        <x:v>46207</x:v>
      </x:c>
      <x:c r="N291" s="8" t="n">
        <x:v>52800</x:v>
      </x:c>
      <x:c r="O291" t="str">
        <x:v>Technology</x:v>
      </x:c>
      <x:c r="P291" t="str">
        <x:v>No</x:v>
      </x:c>
      <x:c r="Q291" t="str">
        <x:v>No</x:v>
      </x:c>
      <x:c r="R291" s="6"/>
      <x:c r="S291" t="str">
        <x:f>IF(E291="","Unique",IF(COUNTIF($E$2:E291,E291)&gt;1,"Duplicate","Unique"))</x:f>
        <x:v>Unique</x:v>
      </x:c>
      <x:c r="T291" t="str">
        <x:f>IF(J291="Unassigned","Yes","No")</x:f>
        <x:v>No</x:v>
      </x:c>
      <x:c r="U291" t="str">
        <x:f>IF(AND(E291="",F291=""),"Yes","No")</x:f>
        <x:v>No</x:v>
      </x:c>
      <x:c r="V291" t="str">
        <x:f>IF(AND('Dashboard'!$B$2-L291&gt;30,I291&lt;&gt;"Closed Won",I291&lt;&gt;"Closed Lost"),"Yes","No")</x:f>
        <x:v>Yes</x:v>
      </x:c>
      <x:c r="W291" t="str">
        <x:f>IF(AND(M291&lt;&gt;"",M291&lt;'Dashboard'!$B$2,I291&lt;&gt;"Closed Won",I291&lt;&gt;"Closed Lost"),"Yes","No")</x:f>
        <x:v>Yes</x:v>
      </x:c>
      <x:c r="X291" t="str">
        <x:f>IF(OR(S291="Duplicate",T291="Yes",U291="Yes",D291="Unknown",W291="Yes"),"Yes","No")</x:f>
        <x:v>Yes</x:v>
      </x:c>
      <x:c r="Y291" t="n">
        <x:f>IF(S291="Duplicate",0,1)</x:f>
        <x:v>1</x:v>
      </x:c>
    </x:row>
    <x:row r="292">
      <x:c r="A292" t="str">
        <x:v>L-0291</x:v>
      </x:c>
      <x:c r="B292" t="str">
        <x:v>Benjamin</x:v>
      </x:c>
      <x:c r="C292" t="str">
        <x:v>Miller</x:v>
      </x:c>
      <x:c r="D292" t="str">
        <x:v>Blue Ridge Supply</x:v>
      </x:c>
      <x:c r="E292" t="str">
        <x:v>benjamin.miller963@mailhub.net</x:v>
      </x:c>
      <x:c r="F292" t="str">
        <x:v>(961) 582-7292</x:v>
      </x:c>
      <x:c r="G292" t="str">
        <x:v>CO</x:v>
      </x:c>
      <x:c r="H292" t="str">
        <x:v>Website</x:v>
      </x:c>
      <x:c r="I292" t="str">
        <x:v>Qualified</x:v>
      </x:c>
      <x:c r="J292" t="str">
        <x:v>Morgan Reed</x:v>
      </x:c>
      <x:c r="K292" s="6" t="n">
        <x:v>46061</x:v>
      </x:c>
      <x:c r="L292" s="6" t="n">
        <x:v>46156</x:v>
      </x:c>
      <x:c r="M292" s="6" t="n">
        <x:v>46174</x:v>
      </x:c>
      <x:c r="N292" s="8" t="n">
        <x:v>35900</x:v>
      </x:c>
      <x:c r="O292" t="str">
        <x:v>Retail</x:v>
      </x:c>
      <x:c r="P292" t="str">
        <x:v>Yes</x:v>
      </x:c>
      <x:c r="Q292" t="str">
        <x:v>No</x:v>
      </x:c>
      <x:c r="R292" s="6"/>
      <x:c r="S292" t="str">
        <x:f>IF(E292="","Unique",IF(COUNTIF($E$2:E292,E292)&gt;1,"Duplicate","Unique"))</x:f>
        <x:v>Unique</x:v>
      </x:c>
      <x:c r="T292" t="str">
        <x:f>IF(J292="Unassigned","Yes","No")</x:f>
        <x:v>No</x:v>
      </x:c>
      <x:c r="U292" t="str">
        <x:f>IF(AND(E292="",F292=""),"Yes","No")</x:f>
        <x:v>No</x:v>
      </x:c>
      <x:c r="V292" t="str">
        <x:f>IF(AND('Dashboard'!$B$2-L292&gt;30,I292&lt;&gt;"Closed Won",I292&lt;&gt;"Closed Lost"),"Yes","No")</x:f>
        <x:v>Yes</x:v>
      </x:c>
      <x:c r="W292" t="str">
        <x:f>IF(AND(M292&lt;&gt;"",M292&lt;'Dashboard'!$B$2,I292&lt;&gt;"Closed Won",I292&lt;&gt;"Closed Lost"),"Yes","No")</x:f>
        <x:v>Yes</x:v>
      </x:c>
      <x:c r="X292" t="str">
        <x:f>IF(OR(S292="Duplicate",T292="Yes",U292="Yes",D292="Unknown",W292="Yes"),"Yes","No")</x:f>
        <x:v>Yes</x:v>
      </x:c>
      <x:c r="Y292" t="n">
        <x:f>IF(S292="Duplicate",0,1)</x:f>
        <x:v>1</x:v>
      </x:c>
    </x:row>
    <x:row r="293">
      <x:c r="A293" t="str">
        <x:v>L-0292</x:v>
      </x:c>
      <x:c r="B293" t="str">
        <x:v>Logan</x:v>
      </x:c>
      <x:c r="C293" t="str">
        <x:v>Johnson</x:v>
      </x:c>
      <x:c r="D293" t="str">
        <x:v>Silverline Foods</x:v>
      </x:c>
      <x:c r="E293" t="str">
        <x:v>logan.johnson715@examplebiz.com</x:v>
      </x:c>
      <x:c r="F293" t="str">
        <x:v>(468) 819-8462</x:v>
      </x:c>
      <x:c r="G293" t="str">
        <x:v>PA</x:v>
      </x:c>
      <x:c r="H293" t="str">
        <x:v>Referral</x:v>
      </x:c>
      <x:c r="I293" t="str">
        <x:v>Qualified</x:v>
      </x:c>
      <x:c r="J293" t="str">
        <x:v>Jordan Lee</x:v>
      </x:c>
      <x:c r="K293" s="6" t="n">
        <x:v>46038</x:v>
      </x:c>
      <x:c r="L293" s="6" t="n">
        <x:v>46130</x:v>
      </x:c>
      <x:c r="M293" s="6" t="n">
        <x:v>46153</x:v>
      </x:c>
      <x:c r="N293" s="8" t="n">
        <x:v>60800</x:v>
      </x:c>
      <x:c r="O293" t="str">
        <x:v>Professional Services</x:v>
      </x:c>
      <x:c r="P293" t="str">
        <x:v>Yes</x:v>
      </x:c>
      <x:c r="Q293" t="str">
        <x:v>No</x:v>
      </x:c>
      <x:c r="R293" s="6"/>
      <x:c r="S293" t="str">
        <x:f>IF(E293="","Unique",IF(COUNTIF($E$2:E293,E293)&gt;1,"Duplicate","Unique"))</x:f>
        <x:v>Unique</x:v>
      </x:c>
      <x:c r="T293" t="str">
        <x:f>IF(J293="Unassigned","Yes","No")</x:f>
        <x:v>No</x:v>
      </x:c>
      <x:c r="U293" t="str">
        <x:f>IF(AND(E293="",F293=""),"Yes","No")</x:f>
        <x:v>No</x:v>
      </x:c>
      <x:c r="V293" t="str">
        <x:f>IF(AND('Dashboard'!$B$2-L293&gt;30,I293&lt;&gt;"Closed Won",I293&lt;&gt;"Closed Lost"),"Yes","No")</x:f>
        <x:v>Yes</x:v>
      </x:c>
      <x:c r="W293" t="str">
        <x:f>IF(AND(M293&lt;&gt;"",M293&lt;'Dashboard'!$B$2,I293&lt;&gt;"Closed Won",I293&lt;&gt;"Closed Lost"),"Yes","No")</x:f>
        <x:v>Yes</x:v>
      </x:c>
      <x:c r="X293" t="str">
        <x:f>IF(OR(S293="Duplicate",T293="Yes",U293="Yes",D293="Unknown",W293="Yes"),"Yes","No")</x:f>
        <x:v>Yes</x:v>
      </x:c>
      <x:c r="Y293" t="n">
        <x:f>IF(S293="Duplicate",0,1)</x:f>
        <x:v>1</x:v>
      </x:c>
    </x:row>
    <x:row r="294">
      <x:c r="A294" t="str">
        <x:v>L-0293</x:v>
      </x:c>
      <x:c r="B294" t="str">
        <x:v>Ethan</x:v>
      </x:c>
      <x:c r="C294" t="str">
        <x:v>Taylor</x:v>
      </x:c>
      <x:c r="D294" t="str">
        <x:v>Horizon Bio</x:v>
      </x:c>
      <x:c r="E294" t="str">
        <x:v>emma.garcia987@mailhub.net</x:v>
      </x:c>
      <x:c r="F294" t="str">
        <x:v>(312) 851-6642</x:v>
      </x:c>
      <x:c r="G294" t="str">
        <x:v>GA</x:v>
      </x:c>
      <x:c r="H294" t="str">
        <x:v>Outbound</x:v>
      </x:c>
      <x:c r="I294" t="str">
        <x:v>Opportunity</x:v>
      </x:c>
      <x:c r="J294" t="str">
        <x:v>Jamie Brooks</x:v>
      </x:c>
      <x:c r="K294" s="6" t="n">
        <x:v>46149</x:v>
      </x:c>
      <x:c r="L294" s="6" t="n">
        <x:v>46224</x:v>
      </x:c>
      <x:c r="M294" s="6" t="n">
        <x:v>46236</x:v>
      </x:c>
      <x:c r="N294" s="8" t="n">
        <x:v>63000</x:v>
      </x:c>
      <x:c r="O294" t="str">
        <x:v>Financial Services</x:v>
      </x:c>
      <x:c r="P294" t="str">
        <x:v>Yes</x:v>
      </x:c>
      <x:c r="Q294" t="str">
        <x:v>No</x:v>
      </x:c>
      <x:c r="R294" s="6"/>
      <x:c r="S294" t="str">
        <x:f>IF(E294="","Unique",IF(COUNTIF($E$2:E294,E294)&gt;1,"Duplicate","Unique"))</x:f>
        <x:v>Duplicate</x:v>
      </x:c>
      <x:c r="T294" t="str">
        <x:f>IF(J294="Unassigned","Yes","No")</x:f>
        <x:v>No</x:v>
      </x:c>
      <x:c r="U294" t="str">
        <x:f>IF(AND(E294="",F294=""),"Yes","No")</x:f>
        <x:v>No</x:v>
      </x:c>
      <x:c r="V294" t="str">
        <x:f>IF(AND('Dashboard'!$B$2-L294&gt;30,I294&lt;&gt;"Closed Won",I294&lt;&gt;"Closed Lost"),"Yes","No")</x:f>
        <x:v>No</x:v>
      </x:c>
      <x:c r="W294" t="str">
        <x:f>IF(AND(M294&lt;&gt;"",M294&lt;'Dashboard'!$B$2,I294&lt;&gt;"Closed Won",I294&lt;&gt;"Closed Lost"),"Yes","No")</x:f>
        <x:v>Yes</x:v>
      </x:c>
      <x:c r="X294" t="str">
        <x:f>IF(OR(S294="Duplicate",T294="Yes",U294="Yes",D294="Unknown",W294="Yes"),"Yes","No")</x:f>
        <x:v>Yes</x:v>
      </x:c>
      <x:c r="Y294" t="n">
        <x:f>IF(S294="Duplicate",0,1)</x:f>
        <x:v>0</x:v>
      </x:c>
    </x:row>
    <x:row r="295">
      <x:c r="A295" t="str">
        <x:v>L-0294</x:v>
      </x:c>
      <x:c r="B295" t="str">
        <x:v>Ethan</x:v>
      </x:c>
      <x:c r="C295" t="str">
        <x:v>Anderson</x:v>
      </x:c>
      <x:c r="D295" t="str">
        <x:v>Cedarworks</x:v>
      </x:c>
      <x:c r="E295" t="str">
        <x:v>ethan.anderson206@northmail.com</x:v>
      </x:c>
      <x:c r="F295" t="str">
        <x:v>(968) 387-4143</x:v>
      </x:c>
      <x:c r="G295" t="str">
        <x:v>FL</x:v>
      </x:c>
      <x:c r="H295" t="str">
        <x:v>Webinar</x:v>
      </x:c>
      <x:c r="I295" t="str">
        <x:v>Qualified</x:v>
      </x:c>
      <x:c r="J295" t="str">
        <x:v>Taylor Morgan</x:v>
      </x:c>
      <x:c r="K295" s="6" t="n">
        <x:v>46218</x:v>
      </x:c>
      <x:c r="L295" s="6" t="n">
        <x:v>46246</x:v>
      </x:c>
      <x:c r="M295" s="6" t="n">
        <x:v>46267</x:v>
      </x:c>
      <x:c r="N295" s="8" t="n">
        <x:v>69700</x:v>
      </x:c>
      <x:c r="O295" t="str">
        <x:v>Manufacturing</x:v>
      </x:c>
      <x:c r="P295" t="str">
        <x:v>Yes</x:v>
      </x:c>
      <x:c r="Q295" t="str">
        <x:v>No</x:v>
      </x:c>
      <x:c r="R295" s="6"/>
      <x:c r="S295" t="str">
        <x:f>IF(E295="","Unique",IF(COUNTIF($E$2:E295,E295)&gt;1,"Duplicate","Unique"))</x:f>
        <x:v>Unique</x:v>
      </x:c>
      <x:c r="T295" t="str">
        <x:f>IF(J295="Unassigned","Yes","No")</x:f>
        <x:v>No</x:v>
      </x:c>
      <x:c r="U295" t="str">
        <x:f>IF(AND(E295="",F295=""),"Yes","No")</x:f>
        <x:v>No</x:v>
      </x:c>
      <x:c r="V295" t="str">
        <x:f>IF(AND('Dashboard'!$B$2-L295&gt;30,I295&lt;&gt;"Closed Won",I295&lt;&gt;"Closed Lost"),"Yes","No")</x:f>
        <x:v>No</x:v>
      </x:c>
      <x:c r="W295" t="str">
        <x:f>IF(AND(M295&lt;&gt;"",M295&lt;'Dashboard'!$B$2,I295&lt;&gt;"Closed Won",I295&lt;&gt;"Closed Lost"),"Yes","No")</x:f>
        <x:v>No</x:v>
      </x:c>
      <x:c r="X295" t="str">
        <x:f>IF(OR(S295="Duplicate",T295="Yes",U295="Yes",D295="Unknown",W295="Yes"),"Yes","No")</x:f>
        <x:v>No</x:v>
      </x:c>
      <x:c r="Y295" t="n">
        <x:f>IF(S295="Duplicate",0,1)</x:f>
        <x:v>1</x:v>
      </x:c>
    </x:row>
    <x:row r="296">
      <x:c r="A296" t="str">
        <x:v>L-0295</x:v>
      </x:c>
      <x:c r="B296" t="str">
        <x:v>Noah</x:v>
      </x:c>
      <x:c r="C296" t="str">
        <x:v>Smith</x:v>
      </x:c>
      <x:c r="D296" t="str">
        <x:v>Peakline Systems</x:v>
      </x:c>
      <x:c r="E296" t="str">
        <x:v>noah.smith385@prospect.co</x:v>
      </x:c>
      <x:c r="F296" t="str">
        <x:v>(698) 684-6521</x:v>
      </x:c>
      <x:c r="G296" t="str">
        <x:v>CO</x:v>
      </x:c>
      <x:c r="H296" t="str">
        <x:v>LinkedIn</x:v>
      </x:c>
      <x:c r="I296" t="str">
        <x:v>Closed Won</x:v>
      </x:c>
      <x:c r="J296" t="str">
        <x:v>Jordan Lee</x:v>
      </x:c>
      <x:c r="K296" s="6" t="n">
        <x:v>46236</x:v>
      </x:c>
      <x:c r="L296" s="6" t="n">
        <x:v>46239</x:v>
      </x:c>
      <x:c r="M296" s="6"/>
      <x:c r="N296" s="8" t="n">
        <x:v>19900</x:v>
      </x:c>
      <x:c r="O296" t="str">
        <x:v>Financial Services</x:v>
      </x:c>
      <x:c r="P296" t="str">
        <x:v>Yes</x:v>
      </x:c>
      <x:c r="Q296" t="str">
        <x:v>Yes</x:v>
      </x:c>
      <x:c r="R296" s="6" t="n">
        <x:v>46244</x:v>
      </x:c>
      <x:c r="S296" t="str">
        <x:f>IF(E296="","Unique",IF(COUNTIF($E$2:E296,E296)&gt;1,"Duplicate","Unique"))</x:f>
        <x:v>Unique</x:v>
      </x:c>
      <x:c r="T296" t="str">
        <x:f>IF(J296="Unassigned","Yes","No")</x:f>
        <x:v>No</x:v>
      </x:c>
      <x:c r="U296" t="str">
        <x:f>IF(AND(E296="",F296=""),"Yes","No")</x:f>
        <x:v>No</x:v>
      </x:c>
      <x:c r="V296" t="str">
        <x:f>IF(AND('Dashboard'!$B$2-L296&gt;30,I296&lt;&gt;"Closed Won",I296&lt;&gt;"Closed Lost"),"Yes","No")</x:f>
        <x:v>No</x:v>
      </x:c>
      <x:c r="W296" t="str">
        <x:f>IF(AND(M296&lt;&gt;"",M296&lt;'Dashboard'!$B$2,I296&lt;&gt;"Closed Won",I296&lt;&gt;"Closed Lost"),"Yes","No")</x:f>
        <x:v>No</x:v>
      </x:c>
      <x:c r="X296" t="str">
        <x:f>IF(OR(S296="Duplicate",T296="Yes",U296="Yes",D296="Unknown",W296="Yes"),"Yes","No")</x:f>
        <x:v>No</x:v>
      </x:c>
      <x:c r="Y296" t="n">
        <x:f>IF(S296="Duplicate",0,1)</x:f>
        <x:v>1</x:v>
      </x:c>
    </x:row>
    <x:row r="297">
      <x:c r="A297" t="str">
        <x:v>L-0296</x:v>
      </x:c>
      <x:c r="B297" t="str">
        <x:v>Amelia</x:v>
      </x:c>
      <x:c r="C297" t="str">
        <x:v>Jones</x:v>
      </x:c>
      <x:c r="D297" t="str">
        <x:v>Unknown</x:v>
      </x:c>
      <x:c r="E297" t="str">
        <x:v>amelia.jones675@mailhub.net</x:v>
      </x:c>
      <x:c r="F297" t="str">
        <x:v>(728) 623-4079</x:v>
      </x:c>
      <x:c r="G297" t="str">
        <x:v>GA</x:v>
      </x:c>
      <x:c r="H297" t="str">
        <x:v>Referral</x:v>
      </x:c>
      <x:c r="I297" t="str">
        <x:v>Opportunity</x:v>
      </x:c>
      <x:c r="J297" t="str">
        <x:v>Jamie Brooks</x:v>
      </x:c>
      <x:c r="K297" s="6" t="n">
        <x:v>46038</x:v>
      </x:c>
      <x:c r="L297" s="6" t="n">
        <x:v>46101</x:v>
      </x:c>
      <x:c r="M297" s="6" t="n">
        <x:v>46115</x:v>
      </x:c>
      <x:c r="N297" s="8" t="n">
        <x:v>39800</x:v>
      </x:c>
      <x:c r="O297" t="str">
        <x:v>Technology</x:v>
      </x:c>
      <x:c r="P297" t="str">
        <x:v>Yes</x:v>
      </x:c>
      <x:c r="Q297" t="str">
        <x:v>No</x:v>
      </x:c>
      <x:c r="R297" s="6"/>
      <x:c r="S297" t="str">
        <x:f>IF(E297="","Unique",IF(COUNTIF($E$2:E297,E297)&gt;1,"Duplicate","Unique"))</x:f>
        <x:v>Unique</x:v>
      </x:c>
      <x:c r="T297" t="str">
        <x:f>IF(J297="Unassigned","Yes","No")</x:f>
        <x:v>No</x:v>
      </x:c>
      <x:c r="U297" t="str">
        <x:f>IF(AND(E297="",F297=""),"Yes","No")</x:f>
        <x:v>No</x:v>
      </x:c>
      <x:c r="V297" t="str">
        <x:f>IF(AND('Dashboard'!$B$2-L297&gt;30,I297&lt;&gt;"Closed Won",I297&lt;&gt;"Closed Lost"),"Yes","No")</x:f>
        <x:v>Yes</x:v>
      </x:c>
      <x:c r="W297" t="str">
        <x:f>IF(AND(M297&lt;&gt;"",M297&lt;'Dashboard'!$B$2,I297&lt;&gt;"Closed Won",I297&lt;&gt;"Closed Lost"),"Yes","No")</x:f>
        <x:v>Yes</x:v>
      </x:c>
      <x:c r="X297" t="str">
        <x:f>IF(OR(S297="Duplicate",T297="Yes",U297="Yes",D297="Unknown",W297="Yes"),"Yes","No")</x:f>
        <x:v>Yes</x:v>
      </x:c>
      <x:c r="Y297" t="n">
        <x:f>IF(S297="Duplicate",0,1)</x:f>
        <x:v>1</x:v>
      </x:c>
    </x:row>
    <x:row r="298">
      <x:c r="A298" t="str">
        <x:v>L-0297</x:v>
      </x:c>
      <x:c r="B298" t="str">
        <x:v>Mia</x:v>
      </x:c>
      <x:c r="C298" t="str">
        <x:v>Anderson</x:v>
      </x:c>
      <x:c r="D298" t="str">
        <x:v>Unknown</x:v>
      </x:c>
      <x:c r="E298" t="str">
        <x:v>mia.anderson730@examplebiz.com</x:v>
      </x:c>
      <x:c r="F298" t="str">
        <x:v>(733) 785-9267</x:v>
      </x:c>
      <x:c r="G298" t="str">
        <x:v>OH</x:v>
      </x:c>
      <x:c r="H298" t="str">
        <x:v>Email Campaign</x:v>
      </x:c>
      <x:c r="I298" t="str">
        <x:v>Closed Lost</x:v>
      </x:c>
      <x:c r="J298" t="str">
        <x:v>Taylor Morgan</x:v>
      </x:c>
      <x:c r="K298" s="6" t="n">
        <x:v>46059</x:v>
      </x:c>
      <x:c r="L298" s="6" t="n">
        <x:v>46157</x:v>
      </x:c>
      <x:c r="M298" s="6"/>
      <x:c r="N298" s="8" t="n">
        <x:v>26700</x:v>
      </x:c>
      <x:c r="O298" t="str">
        <x:v>Logistics</x:v>
      </x:c>
      <x:c r="P298" t="str">
        <x:v>Yes</x:v>
      </x:c>
      <x:c r="Q298" t="str">
        <x:v>No</x:v>
      </x:c>
      <x:c r="R298" s="6" t="n">
        <x:v>46164</x:v>
      </x:c>
      <x:c r="S298" t="str">
        <x:f>IF(E298="","Unique",IF(COUNTIF($E$2:E298,E298)&gt;1,"Duplicate","Unique"))</x:f>
        <x:v>Unique</x:v>
      </x:c>
      <x:c r="T298" t="str">
        <x:f>IF(J298="Unassigned","Yes","No")</x:f>
        <x:v>No</x:v>
      </x:c>
      <x:c r="U298" t="str">
        <x:f>IF(AND(E298="",F298=""),"Yes","No")</x:f>
        <x:v>No</x:v>
      </x:c>
      <x:c r="V298" t="str">
        <x:f>IF(AND('Dashboard'!$B$2-L298&gt;30,I298&lt;&gt;"Closed Won",I298&lt;&gt;"Closed Lost"),"Yes","No")</x:f>
        <x:v>No</x:v>
      </x:c>
      <x:c r="W298" t="str">
        <x:f>IF(AND(M298&lt;&gt;"",M298&lt;'Dashboard'!$B$2,I298&lt;&gt;"Closed Won",I298&lt;&gt;"Closed Lost"),"Yes","No")</x:f>
        <x:v>No</x:v>
      </x:c>
      <x:c r="X298" t="str">
        <x:f>IF(OR(S298="Duplicate",T298="Yes",U298="Yes",D298="Unknown",W298="Yes"),"Yes","No")</x:f>
        <x:v>Yes</x:v>
      </x:c>
      <x:c r="Y298" t="n">
        <x:f>IF(S298="Duplicate",0,1)</x:f>
        <x:v>1</x:v>
      </x:c>
    </x:row>
    <x:row r="299">
      <x:c r="A299" t="str">
        <x:v>L-0298</x:v>
      </x:c>
      <x:c r="B299" t="str">
        <x:v>Mia</x:v>
      </x:c>
      <x:c r="C299" t="str">
        <x:v>Brown</x:v>
      </x:c>
      <x:c r="D299" t="str">
        <x:v>Vertex Solutions</x:v>
      </x:c>
      <x:c r="E299" t="str">
        <x:v>mia.brown682@mailhub.net</x:v>
      </x:c>
      <x:c r="F299" t="str">
        <x:v>(887) 326-3224</x:v>
      </x:c>
      <x:c r="G299" t="str">
        <x:v>CA</x:v>
      </x:c>
      <x:c r="H299" t="str">
        <x:v>Outbound</x:v>
      </x:c>
      <x:c r="I299" t="str">
        <x:v>Contacted</x:v>
      </x:c>
      <x:c r="J299" t="str">
        <x:v>Casey Patel</x:v>
      </x:c>
      <x:c r="K299" s="6" t="n">
        <x:v>46148</x:v>
      </x:c>
      <x:c r="L299" s="6" t="n">
        <x:v>46246</x:v>
      </x:c>
      <x:c r="M299" s="6" t="n">
        <x:v>46257</x:v>
      </x:c>
      <x:c r="N299" s="8" t="n">
        <x:v>20700</x:v>
      </x:c>
      <x:c r="O299" t="str">
        <x:v>Healthcare</x:v>
      </x:c>
      <x:c r="P299" t="str">
        <x:v>No</x:v>
      </x:c>
      <x:c r="Q299" t="str">
        <x:v>No</x:v>
      </x:c>
      <x:c r="R299" s="6"/>
      <x:c r="S299" t="str">
        <x:f>IF(E299="","Unique",IF(COUNTIF($E$2:E299,E299)&gt;1,"Duplicate","Unique"))</x:f>
        <x:v>Unique</x:v>
      </x:c>
      <x:c r="T299" t="str">
        <x:f>IF(J299="Unassigned","Yes","No")</x:f>
        <x:v>No</x:v>
      </x:c>
      <x:c r="U299" t="str">
        <x:f>IF(AND(E299="",F299=""),"Yes","No")</x:f>
        <x:v>No</x:v>
      </x:c>
      <x:c r="V299" t="str">
        <x:f>IF(AND('Dashboard'!$B$2-L299&gt;30,I299&lt;&gt;"Closed Won",I299&lt;&gt;"Closed Lost"),"Yes","No")</x:f>
        <x:v>No</x:v>
      </x:c>
      <x:c r="W299" t="str">
        <x:f>IF(AND(M299&lt;&gt;"",M299&lt;'Dashboard'!$B$2,I299&lt;&gt;"Closed Won",I299&lt;&gt;"Closed Lost"),"Yes","No")</x:f>
        <x:v>No</x:v>
      </x:c>
      <x:c r="X299" t="str">
        <x:f>IF(OR(S299="Duplicate",T299="Yes",U299="Yes",D299="Unknown",W299="Yes"),"Yes","No")</x:f>
        <x:v>No</x:v>
      </x:c>
      <x:c r="Y299" t="n">
        <x:f>IF(S299="Duplicate",0,1)</x:f>
        <x:v>1</x:v>
      </x:c>
    </x:row>
    <x:row r="300">
      <x:c r="A300" t="str">
        <x:v>L-0299</x:v>
      </x:c>
      <x:c r="B300" t="str">
        <x:v>Mason</x:v>
      </x:c>
      <x:c r="C300" t="str">
        <x:v>Rodriguez</x:v>
      </x:c>
      <x:c r="D300" t="str">
        <x:v>Summit Analytics</x:v>
      </x:c>
      <x:c r="E300" t="str">
        <x:v>mason.rodriguez874@prospect.co</x:v>
      </x:c>
      <x:c r="F300" t="str">
        <x:v>(590) 790-1027</x:v>
      </x:c>
      <x:c r="G300" t="str">
        <x:v>TX</x:v>
      </x:c>
      <x:c r="H300" t="str">
        <x:v>Website</x:v>
      </x:c>
      <x:c r="I300" t="str">
        <x:v>Contacted</x:v>
      </x:c>
      <x:c r="J300" t="str">
        <x:v>Taylor Morgan</x:v>
      </x:c>
      <x:c r="K300" s="6" t="n">
        <x:v>46095</x:v>
      </x:c>
      <x:c r="L300" s="6" t="n">
        <x:v>46143</x:v>
      </x:c>
      <x:c r="M300" s="6" t="n">
        <x:v>46149</x:v>
      </x:c>
      <x:c r="N300" s="8" t="n">
        <x:v>49800</x:v>
      </x:c>
      <x:c r="O300" t="str">
        <x:v>Financial Services</x:v>
      </x:c>
      <x:c r="P300" t="str">
        <x:v>No</x:v>
      </x:c>
      <x:c r="Q300" t="str">
        <x:v>No</x:v>
      </x:c>
      <x:c r="R300" s="6"/>
      <x:c r="S300" t="str">
        <x:f>IF(E300="","Unique",IF(COUNTIF($E$2:E300,E300)&gt;1,"Duplicate","Unique"))</x:f>
        <x:v>Unique</x:v>
      </x:c>
      <x:c r="T300" t="str">
        <x:f>IF(J300="Unassigned","Yes","No")</x:f>
        <x:v>No</x:v>
      </x:c>
      <x:c r="U300" t="str">
        <x:f>IF(AND(E300="",F300=""),"Yes","No")</x:f>
        <x:v>No</x:v>
      </x:c>
      <x:c r="V300" t="str">
        <x:f>IF(AND('Dashboard'!$B$2-L300&gt;30,I300&lt;&gt;"Closed Won",I300&lt;&gt;"Closed Lost"),"Yes","No")</x:f>
        <x:v>Yes</x:v>
      </x:c>
      <x:c r="W300" t="str">
        <x:f>IF(AND(M300&lt;&gt;"",M300&lt;'Dashboard'!$B$2,I300&lt;&gt;"Closed Won",I300&lt;&gt;"Closed Lost"),"Yes","No")</x:f>
        <x:v>Yes</x:v>
      </x:c>
      <x:c r="X300" t="str">
        <x:f>IF(OR(S300="Duplicate",T300="Yes",U300="Yes",D300="Unknown",W300="Yes"),"Yes","No")</x:f>
        <x:v>Yes</x:v>
      </x:c>
      <x:c r="Y300" t="n">
        <x:f>IF(S300="Duplicate",0,1)</x:f>
        <x:v>1</x:v>
      </x:c>
    </x:row>
    <x:row r="301">
      <x:c r="A301" t="str">
        <x:v>L-0300</x:v>
      </x:c>
      <x:c r="B301" t="str">
        <x:v>Harper</x:v>
      </x:c>
      <x:c r="C301" t="str">
        <x:v>Wilson</x:v>
      </x:c>
      <x:c r="D301" t="str">
        <x:v>Blue Ridge Supply</x:v>
      </x:c>
      <x:c r="E301" t="str">
        <x:v>harper.wilson36@prospect.co</x:v>
      </x:c>
      <x:c r="F301" t="str">
        <x:v>(517) 714-3022</x:v>
      </x:c>
      <x:c r="G301" t="str">
        <x:v>FL</x:v>
      </x:c>
      <x:c r="H301" t="str">
        <x:v>Webinar</x:v>
      </x:c>
      <x:c r="I301" t="str">
        <x:v>Qualified</x:v>
      </x:c>
      <x:c r="J301" t="str">
        <x:v>Jamie Brooks</x:v>
      </x:c>
      <x:c r="K301" s="6" t="n">
        <x:v>46093</x:v>
      </x:c>
      <x:c r="L301" s="6" t="n">
        <x:v>46165</x:v>
      </x:c>
      <x:c r="M301" s="6" t="n">
        <x:v>46172</x:v>
      </x:c>
      <x:c r="N301" s="8" t="n">
        <x:v>64100</x:v>
      </x:c>
      <x:c r="O301" t="str">
        <x:v>Financial Services</x:v>
      </x:c>
      <x:c r="P301" t="str">
        <x:v>Yes</x:v>
      </x:c>
      <x:c r="Q301" t="str">
        <x:v>No</x:v>
      </x:c>
      <x:c r="R301" s="6"/>
      <x:c r="S301" t="str">
        <x:f>IF(E301="","Unique",IF(COUNTIF($E$2:E301,E301)&gt;1,"Duplicate","Unique"))</x:f>
        <x:v>Unique</x:v>
      </x:c>
      <x:c r="T301" t="str">
        <x:f>IF(J301="Unassigned","Yes","No")</x:f>
        <x:v>No</x:v>
      </x:c>
      <x:c r="U301" t="str">
        <x:f>IF(AND(E301="",F301=""),"Yes","No")</x:f>
        <x:v>No</x:v>
      </x:c>
      <x:c r="V301" t="str">
        <x:f>IF(AND('Dashboard'!$B$2-L301&gt;30,I301&lt;&gt;"Closed Won",I301&lt;&gt;"Closed Lost"),"Yes","No")</x:f>
        <x:v>Yes</x:v>
      </x:c>
      <x:c r="W301" t="str">
        <x:f>IF(AND(M301&lt;&gt;"",M301&lt;'Dashboard'!$B$2,I301&lt;&gt;"Closed Won",I301&lt;&gt;"Closed Lost"),"Yes","No")</x:f>
        <x:v>Yes</x:v>
      </x:c>
      <x:c r="X301" t="str">
        <x:f>IF(OR(S301="Duplicate",T301="Yes",U301="Yes",D301="Unknown",W301="Yes"),"Yes","No")</x:f>
        <x:v>Yes</x:v>
      </x:c>
      <x:c r="Y301" t="n">
        <x:f>IF(S301="Duplicate",0,1)</x:f>
        <x:v>1</x:v>
      </x:c>
    </x:row>
    <x:row r="302">
      <x:c r="A302" t="str">
        <x:v>L-0301</x:v>
      </x:c>
      <x:c r="B302" t="str">
        <x:v>Liam</x:v>
      </x:c>
      <x:c r="C302" t="str">
        <x:v>Garcia</x:v>
      </x:c>
      <x:c r="D302" t="str">
        <x:v>Atlas Commerce</x:v>
      </x:c>
      <x:c r="E302" t="str">
        <x:v>liam.garcia695@mailhub.net</x:v>
      </x:c>
      <x:c r="F302" t="str">
        <x:v>(557) 975-7412</x:v>
      </x:c>
      <x:c r="G302" t="str">
        <x:v>NY</x:v>
      </x:c>
      <x:c r="H302" t="str">
        <x:v>Outbound</x:v>
      </x:c>
      <x:c r="I302" t="str">
        <x:v>Opportunity</x:v>
      </x:c>
      <x:c r="J302" t="str">
        <x:v>Morgan Reed</x:v>
      </x:c>
      <x:c r="K302" s="6" t="n">
        <x:v>46206</x:v>
      </x:c>
      <x:c r="L302" s="6" t="n">
        <x:v>46207</x:v>
      </x:c>
      <x:c r="M302" s="6" t="n">
        <x:v>46227</x:v>
      </x:c>
      <x:c r="N302" s="8" t="n">
        <x:v>34900</x:v>
      </x:c>
      <x:c r="O302" t="str">
        <x:v>Professional Services</x:v>
      </x:c>
      <x:c r="P302" t="str">
        <x:v>Yes</x:v>
      </x:c>
      <x:c r="Q302" t="str">
        <x:v>No</x:v>
      </x:c>
      <x:c r="R302" s="6"/>
      <x:c r="S302" t="str">
        <x:f>IF(E302="","Unique",IF(COUNTIF($E$2:E302,E302)&gt;1,"Duplicate","Unique"))</x:f>
        <x:v>Unique</x:v>
      </x:c>
      <x:c r="T302" t="str">
        <x:f>IF(J302="Unassigned","Yes","No")</x:f>
        <x:v>No</x:v>
      </x:c>
      <x:c r="U302" t="str">
        <x:f>IF(AND(E302="",F302=""),"Yes","No")</x:f>
        <x:v>No</x:v>
      </x:c>
      <x:c r="V302" t="str">
        <x:f>IF(AND('Dashboard'!$B$2-L302&gt;30,I302&lt;&gt;"Closed Won",I302&lt;&gt;"Closed Lost"),"Yes","No")</x:f>
        <x:v>Yes</x:v>
      </x:c>
      <x:c r="W302" t="str">
        <x:f>IF(AND(M302&lt;&gt;"",M302&lt;'Dashboard'!$B$2,I302&lt;&gt;"Closed Won",I302&lt;&gt;"Closed Lost"),"Yes","No")</x:f>
        <x:v>Yes</x:v>
      </x:c>
      <x:c r="X302" t="str">
        <x:f>IF(OR(S302="Duplicate",T302="Yes",U302="Yes",D302="Unknown",W302="Yes"),"Yes","No")</x:f>
        <x:v>Yes</x:v>
      </x:c>
      <x:c r="Y302" t="n">
        <x:f>IF(S302="Duplicate",0,1)</x:f>
        <x:v>1</x:v>
      </x:c>
    </x:row>
    <x:row r="303">
      <x:c r="A303" t="str">
        <x:v>L-0302</x:v>
      </x:c>
      <x:c r="B303" t="str">
        <x:v>Luna</x:v>
      </x:c>
      <x:c r="C303" t="str">
        <x:v>Jones</x:v>
      </x:c>
      <x:c r="D303" t="str">
        <x:v>Prairie Health</x:v>
      </x:c>
      <x:c r="E303" t="str">
        <x:v>luna.jones371@northmail.com</x:v>
      </x:c>
      <x:c r="F303" t="str">
        <x:v>(895) 351-7169</x:v>
      </x:c>
      <x:c r="G303" t="str">
        <x:v>NY</x:v>
      </x:c>
      <x:c r="H303" t="str">
        <x:v>Email Campaign</x:v>
      </x:c>
      <x:c r="I303" t="str">
        <x:v>Contacted</x:v>
      </x:c>
      <x:c r="J303" t="str">
        <x:v>Jordan Lee</x:v>
      </x:c>
      <x:c r="K303" s="6" t="n">
        <x:v>46041</x:v>
      </x:c>
      <x:c r="L303" s="6" t="n">
        <x:v>46232</x:v>
      </x:c>
      <x:c r="M303" s="6" t="n">
        <x:v>46241</x:v>
      </x:c>
      <x:c r="N303" s="8" t="n">
        <x:v>63200</x:v>
      </x:c>
      <x:c r="O303" t="str">
        <x:v>Logistics</x:v>
      </x:c>
      <x:c r="P303" t="str">
        <x:v>No</x:v>
      </x:c>
      <x:c r="Q303" t="str">
        <x:v>No</x:v>
      </x:c>
      <x:c r="R303" s="6"/>
      <x:c r="S303" t="str">
        <x:f>IF(E303="","Unique",IF(COUNTIF($E$2:E303,E303)&gt;1,"Duplicate","Unique"))</x:f>
        <x:v>Unique</x:v>
      </x:c>
      <x:c r="T303" t="str">
        <x:f>IF(J303="Unassigned","Yes","No")</x:f>
        <x:v>No</x:v>
      </x:c>
      <x:c r="U303" t="str">
        <x:f>IF(AND(E303="",F303=""),"Yes","No")</x:f>
        <x:v>No</x:v>
      </x:c>
      <x:c r="V303" t="str">
        <x:f>IF(AND('Dashboard'!$B$2-L303&gt;30,I303&lt;&gt;"Closed Won",I303&lt;&gt;"Closed Lost"),"Yes","No")</x:f>
        <x:v>No</x:v>
      </x:c>
      <x:c r="W303" t="str">
        <x:f>IF(AND(M303&lt;&gt;"",M303&lt;'Dashboard'!$B$2,I303&lt;&gt;"Closed Won",I303&lt;&gt;"Closed Lost"),"Yes","No")</x:f>
        <x:v>Yes</x:v>
      </x:c>
      <x:c r="X303" t="str">
        <x:f>IF(OR(S303="Duplicate",T303="Yes",U303="Yes",D303="Unknown",W303="Yes"),"Yes","No")</x:f>
        <x:v>Yes</x:v>
      </x:c>
      <x:c r="Y303" t="n">
        <x:f>IF(S303="Duplicate",0,1)</x:f>
        <x:v>1</x:v>
      </x:c>
    </x:row>
    <x:row r="304">
      <x:c r="A304" t="str">
        <x:v>L-0303</x:v>
      </x:c>
      <x:c r="B304" t="str">
        <x:v>Noah</x:v>
      </x:c>
      <x:c r="C304" t="str">
        <x:v>Davis</x:v>
      </x:c>
      <x:c r="D304" t="str">
        <x:v>Silverline Foods</x:v>
      </x:c>
      <x:c r="E304" t="str">
        <x:v>noah.davis675@northmail.com</x:v>
      </x:c>
      <x:c r="F304" t="str">
        <x:v>(675) 865-7260</x:v>
      </x:c>
      <x:c r="G304" t="str">
        <x:v>NY</x:v>
      </x:c>
      <x:c r="H304" t="str">
        <x:v>LinkedIn</x:v>
      </x:c>
      <x:c r="I304" t="str">
        <x:v>Closed Lost</x:v>
      </x:c>
      <x:c r="J304" t="str">
        <x:v>Jamie Brooks</x:v>
      </x:c>
      <x:c r="K304" s="6" t="n">
        <x:v>46079</x:v>
      </x:c>
      <x:c r="L304" s="6" t="n">
        <x:v>46175</x:v>
      </x:c>
      <x:c r="M304" s="6"/>
      <x:c r="N304" s="8" t="n">
        <x:v>66500</x:v>
      </x:c>
      <x:c r="O304" t="str">
        <x:v>Logistics</x:v>
      </x:c>
      <x:c r="P304" t="str">
        <x:v>Yes</x:v>
      </x:c>
      <x:c r="Q304" t="str">
        <x:v>No</x:v>
      </x:c>
      <x:c r="R304" s="6" t="n">
        <x:v>46183</x:v>
      </x:c>
      <x:c r="S304" t="str">
        <x:f>IF(E304="","Unique",IF(COUNTIF($E$2:E304,E304)&gt;1,"Duplicate","Unique"))</x:f>
        <x:v>Unique</x:v>
      </x:c>
      <x:c r="T304" t="str">
        <x:f>IF(J304="Unassigned","Yes","No")</x:f>
        <x:v>No</x:v>
      </x:c>
      <x:c r="U304" t="str">
        <x:f>IF(AND(E304="",F304=""),"Yes","No")</x:f>
        <x:v>No</x:v>
      </x:c>
      <x:c r="V304" t="str">
        <x:f>IF(AND('Dashboard'!$B$2-L304&gt;30,I304&lt;&gt;"Closed Won",I304&lt;&gt;"Closed Lost"),"Yes","No")</x:f>
        <x:v>No</x:v>
      </x:c>
      <x:c r="W304" t="str">
        <x:f>IF(AND(M304&lt;&gt;"",M304&lt;'Dashboard'!$B$2,I304&lt;&gt;"Closed Won",I304&lt;&gt;"Closed Lost"),"Yes","No")</x:f>
        <x:v>No</x:v>
      </x:c>
      <x:c r="X304" t="str">
        <x:f>IF(OR(S304="Duplicate",T304="Yes",U304="Yes",D304="Unknown",W304="Yes"),"Yes","No")</x:f>
        <x:v>No</x:v>
      </x:c>
      <x:c r="Y304" t="n">
        <x:f>IF(S304="Duplicate",0,1)</x:f>
        <x:v>1</x:v>
      </x:c>
    </x:row>
    <x:row r="305">
      <x:c r="A305" t="str">
        <x:v>L-0304</x:v>
      </x:c>
      <x:c r="B305" t="str">
        <x:v>James</x:v>
      </x:c>
      <x:c r="C305" t="str">
        <x:v>Martinez</x:v>
      </x:c>
      <x:c r="D305" t="str">
        <x:v>Blue Ridge Supply</x:v>
      </x:c>
      <x:c r="E305" t="str">
        <x:v>james.martinez21@mailhub.net</x:v>
      </x:c>
      <x:c r="F305" t="str">
        <x:v>(770) 749-9684</x:v>
      </x:c>
      <x:c r="G305" t="str">
        <x:v>IL</x:v>
      </x:c>
      <x:c r="H305" t="str">
        <x:v>Website</x:v>
      </x:c>
      <x:c r="I305" t="str">
        <x:v>Closed Lost</x:v>
      </x:c>
      <x:c r="J305" t="str">
        <x:v>Jamie Brooks</x:v>
      </x:c>
      <x:c r="K305" s="6" t="n">
        <x:v>46043</x:v>
      </x:c>
      <x:c r="L305" s="6" t="n">
        <x:v>46180</x:v>
      </x:c>
      <x:c r="M305" s="6"/>
      <x:c r="N305" s="8" t="n">
        <x:v>17800</x:v>
      </x:c>
      <x:c r="O305" t="str">
        <x:v>Technology</x:v>
      </x:c>
      <x:c r="P305" t="str">
        <x:v>Yes</x:v>
      </x:c>
      <x:c r="Q305" t="str">
        <x:v>No</x:v>
      </x:c>
      <x:c r="R305" s="6" t="n">
        <x:v>46183</x:v>
      </x:c>
      <x:c r="S305" t="str">
        <x:f>IF(E305="","Unique",IF(COUNTIF($E$2:E305,E305)&gt;1,"Duplicate","Unique"))</x:f>
        <x:v>Unique</x:v>
      </x:c>
      <x:c r="T305" t="str">
        <x:f>IF(J305="Unassigned","Yes","No")</x:f>
        <x:v>No</x:v>
      </x:c>
      <x:c r="U305" t="str">
        <x:f>IF(AND(E305="",F305=""),"Yes","No")</x:f>
        <x:v>No</x:v>
      </x:c>
      <x:c r="V305" t="str">
        <x:f>IF(AND('Dashboard'!$B$2-L305&gt;30,I305&lt;&gt;"Closed Won",I305&lt;&gt;"Closed Lost"),"Yes","No")</x:f>
        <x:v>No</x:v>
      </x:c>
      <x:c r="W305" t="str">
        <x:f>IF(AND(M305&lt;&gt;"",M305&lt;'Dashboard'!$B$2,I305&lt;&gt;"Closed Won",I305&lt;&gt;"Closed Lost"),"Yes","No")</x:f>
        <x:v>No</x:v>
      </x:c>
      <x:c r="X305" t="str">
        <x:f>IF(OR(S305="Duplicate",T305="Yes",U305="Yes",D305="Unknown",W305="Yes"),"Yes","No")</x:f>
        <x:v>No</x:v>
      </x:c>
      <x:c r="Y305" t="n">
        <x:f>IF(S305="Duplicate",0,1)</x:f>
        <x:v>1</x:v>
      </x:c>
    </x:row>
    <x:row r="306">
      <x:c r="A306" t="str">
        <x:v>L-0305</x:v>
      </x:c>
      <x:c r="B306" t="str">
        <x:v>Emma</x:v>
      </x:c>
      <x:c r="C306" t="str">
        <x:v>Perez</x:v>
      </x:c>
      <x:c r="D306" t="str">
        <x:v>Apex Manufacturing</x:v>
      </x:c>
      <x:c r="E306" t="str">
        <x:v>emma.perez306@prospect.co</x:v>
      </x:c>
      <x:c r="F306" t="str">
        <x:v>(758) 375-7931</x:v>
      </x:c>
      <x:c r="G306" t="str">
        <x:v>TX</x:v>
      </x:c>
      <x:c r="H306" t="str">
        <x:v>Trade Show</x:v>
      </x:c>
      <x:c r="I306" t="str">
        <x:v>Closed Won</x:v>
      </x:c>
      <x:c r="J306" t="str">
        <x:v>Alex Kim</x:v>
      </x:c>
      <x:c r="K306" s="6" t="n">
        <x:v>46238</x:v>
      </x:c>
      <x:c r="L306" s="6" t="n">
        <x:v>46239</x:v>
      </x:c>
      <x:c r="M306" s="6"/>
      <x:c r="N306" s="8" t="n">
        <x:v>83300</x:v>
      </x:c>
      <x:c r="O306" t="str">
        <x:v>Manufacturing</x:v>
      </x:c>
      <x:c r="P306" t="str">
        <x:v>Yes</x:v>
      </x:c>
      <x:c r="Q306" t="str">
        <x:v>Yes</x:v>
      </x:c>
      <x:c r="R306" s="6" t="n">
        <x:v>46243</x:v>
      </x:c>
      <x:c r="S306" t="str">
        <x:f>IF(E306="","Unique",IF(COUNTIF($E$2:E306,E306)&gt;1,"Duplicate","Unique"))</x:f>
        <x:v>Unique</x:v>
      </x:c>
      <x:c r="T306" t="str">
        <x:f>IF(J306="Unassigned","Yes","No")</x:f>
        <x:v>No</x:v>
      </x:c>
      <x:c r="U306" t="str">
        <x:f>IF(AND(E306="",F306=""),"Yes","No")</x:f>
        <x:v>No</x:v>
      </x:c>
      <x:c r="V306" t="str">
        <x:f>IF(AND('Dashboard'!$B$2-L306&gt;30,I306&lt;&gt;"Closed Won",I306&lt;&gt;"Closed Lost"),"Yes","No")</x:f>
        <x:v>No</x:v>
      </x:c>
      <x:c r="W306" t="str">
        <x:f>IF(AND(M306&lt;&gt;"",M306&lt;'Dashboard'!$B$2,I306&lt;&gt;"Closed Won",I306&lt;&gt;"Closed Lost"),"Yes","No")</x:f>
        <x:v>No</x:v>
      </x:c>
      <x:c r="X306" t="str">
        <x:f>IF(OR(S306="Duplicate",T306="Yes",U306="Yes",D306="Unknown",W306="Yes"),"Yes","No")</x:f>
        <x:v>No</x:v>
      </x:c>
      <x:c r="Y306" t="n">
        <x:f>IF(S306="Duplicate",0,1)</x:f>
        <x:v>1</x:v>
      </x:c>
    </x:row>
    <x:row r="307">
      <x:c r="A307" t="str">
        <x:v>L-0306</x:v>
      </x:c>
      <x:c r="B307" t="str">
        <x:v>Liam</x:v>
      </x:c>
      <x:c r="C307" t="str">
        <x:v>Davis</x:v>
      </x:c>
      <x:c r="D307" t="str">
        <x:v>Peakline Systems</x:v>
      </x:c>
      <x:c r="E307" t="str">
        <x:v>liam.davis368@prospect.co</x:v>
      </x:c>
      <x:c r="F307" t="str">
        <x:v>(332) 946-7914</x:v>
      </x:c>
      <x:c r="G307" t="str">
        <x:v>CA</x:v>
      </x:c>
      <x:c r="H307" t="str">
        <x:v>Referral</x:v>
      </x:c>
      <x:c r="I307" t="str">
        <x:v>Closed Won</x:v>
      </x:c>
      <x:c r="J307" t="str">
        <x:v>Alex Kim</x:v>
      </x:c>
      <x:c r="K307" s="6" t="n">
        <x:v>46212</x:v>
      </x:c>
      <x:c r="L307" s="6" t="n">
        <x:v>46250</x:v>
      </x:c>
      <x:c r="M307" s="6"/>
      <x:c r="N307" s="8" t="n">
        <x:v>48000</x:v>
      </x:c>
      <x:c r="O307" t="str">
        <x:v>Retail</x:v>
      </x:c>
      <x:c r="P307" t="str">
        <x:v>Yes</x:v>
      </x:c>
      <x:c r="Q307" t="str">
        <x:v>Yes</x:v>
      </x:c>
      <x:c r="R307" s="6" t="n">
        <x:v>46251</x:v>
      </x:c>
      <x:c r="S307" t="str">
        <x:f>IF(E307="","Unique",IF(COUNTIF($E$2:E307,E307)&gt;1,"Duplicate","Unique"))</x:f>
        <x:v>Unique</x:v>
      </x:c>
      <x:c r="T307" t="str">
        <x:f>IF(J307="Unassigned","Yes","No")</x:f>
        <x:v>No</x:v>
      </x:c>
      <x:c r="U307" t="str">
        <x:f>IF(AND(E307="",F307=""),"Yes","No")</x:f>
        <x:v>No</x:v>
      </x:c>
      <x:c r="V307" t="str">
        <x:f>IF(AND('Dashboard'!$B$2-L307&gt;30,I307&lt;&gt;"Closed Won",I307&lt;&gt;"Closed Lost"),"Yes","No")</x:f>
        <x:v>No</x:v>
      </x:c>
      <x:c r="W307" t="str">
        <x:f>IF(AND(M307&lt;&gt;"",M307&lt;'Dashboard'!$B$2,I307&lt;&gt;"Closed Won",I307&lt;&gt;"Closed Lost"),"Yes","No")</x:f>
        <x:v>No</x:v>
      </x:c>
      <x:c r="X307" t="str">
        <x:f>IF(OR(S307="Duplicate",T307="Yes",U307="Yes",D307="Unknown",W307="Yes"),"Yes","No")</x:f>
        <x:v>No</x:v>
      </x:c>
      <x:c r="Y307" t="n">
        <x:f>IF(S307="Duplicate",0,1)</x:f>
        <x:v>1</x:v>
      </x:c>
    </x:row>
    <x:row r="308">
      <x:c r="A308" t="str">
        <x:v>L-0307</x:v>
      </x:c>
      <x:c r="B308" t="str">
        <x:v>Luna</x:v>
      </x:c>
      <x:c r="C308" t="str">
        <x:v>Martin</x:v>
      </x:c>
      <x:c r="D308" t="str">
        <x:v>Cedarworks</x:v>
      </x:c>
      <x:c r="E308" t="str">
        <x:v>luna.martin80@prospect.co</x:v>
      </x:c>
      <x:c r="F308" t="str">
        <x:v>(328) 744-2802</x:v>
      </x:c>
      <x:c r="G308" t="str">
        <x:v>CA</x:v>
      </x:c>
      <x:c r="H308" t="str">
        <x:v>Referral</x:v>
      </x:c>
      <x:c r="I308" t="str">
        <x:v>Closed Won</x:v>
      </x:c>
      <x:c r="J308" t="str">
        <x:v>Taylor Morgan</x:v>
      </x:c>
      <x:c r="K308" s="6" t="n">
        <x:v>46149</x:v>
      </x:c>
      <x:c r="L308" s="6" t="n">
        <x:v>46152</x:v>
      </x:c>
      <x:c r="M308" s="6"/>
      <x:c r="N308" s="8" t="n">
        <x:v>82000</x:v>
      </x:c>
      <x:c r="O308" t="str">
        <x:v>Professional Services</x:v>
      </x:c>
      <x:c r="P308" t="str">
        <x:v>Yes</x:v>
      </x:c>
      <x:c r="Q308" t="str">
        <x:v>Yes</x:v>
      </x:c>
      <x:c r="R308" s="6" t="n">
        <x:v>46154</x:v>
      </x:c>
      <x:c r="S308" t="str">
        <x:f>IF(E308="","Unique",IF(COUNTIF($E$2:E308,E308)&gt;1,"Duplicate","Unique"))</x:f>
        <x:v>Unique</x:v>
      </x:c>
      <x:c r="T308" t="str">
        <x:f>IF(J308="Unassigned","Yes","No")</x:f>
        <x:v>No</x:v>
      </x:c>
      <x:c r="U308" t="str">
        <x:f>IF(AND(E308="",F308=""),"Yes","No")</x:f>
        <x:v>No</x:v>
      </x:c>
      <x:c r="V308" t="str">
        <x:f>IF(AND('Dashboard'!$B$2-L308&gt;30,I308&lt;&gt;"Closed Won",I308&lt;&gt;"Closed Lost"),"Yes","No")</x:f>
        <x:v>No</x:v>
      </x:c>
      <x:c r="W308" t="str">
        <x:f>IF(AND(M308&lt;&gt;"",M308&lt;'Dashboard'!$B$2,I308&lt;&gt;"Closed Won",I308&lt;&gt;"Closed Lost"),"Yes","No")</x:f>
        <x:v>No</x:v>
      </x:c>
      <x:c r="X308" t="str">
        <x:f>IF(OR(S308="Duplicate",T308="Yes",U308="Yes",D308="Unknown",W308="Yes"),"Yes","No")</x:f>
        <x:v>No</x:v>
      </x:c>
      <x:c r="Y308" t="n">
        <x:f>IF(S308="Duplicate",0,1)</x:f>
        <x:v>1</x:v>
      </x:c>
    </x:row>
    <x:row r="309">
      <x:c r="A309" t="str">
        <x:v>L-0308</x:v>
      </x:c>
      <x:c r="B309" t="str">
        <x:v>Noah</x:v>
      </x:c>
      <x:c r="C309" t="str">
        <x:v>Garcia</x:v>
      </x:c>
      <x:c r="D309" t="str">
        <x:v>Evergreen Services</x:v>
      </x:c>
      <x:c r="E309" t="str">
        <x:v>noah.garcia175@prospect.co</x:v>
      </x:c>
      <x:c r="F309" t="str">
        <x:v>(970) 598-3960</x:v>
      </x:c>
      <x:c r="G309" t="str">
        <x:v>TX</x:v>
      </x:c>
      <x:c r="H309" t="str">
        <x:v>Webinar</x:v>
      </x:c>
      <x:c r="I309" t="str">
        <x:v>Opportunity</x:v>
      </x:c>
      <x:c r="J309" t="str">
        <x:v>Jordan Lee</x:v>
      </x:c>
      <x:c r="K309" s="6" t="n">
        <x:v>46174</x:v>
      </x:c>
      <x:c r="L309" s="6" t="n">
        <x:v>46244</x:v>
      </x:c>
      <x:c r="M309" s="6" t="n">
        <x:v>46255</x:v>
      </x:c>
      <x:c r="N309" s="8" t="n">
        <x:v>52600</x:v>
      </x:c>
      <x:c r="O309" t="str">
        <x:v>Logistics</x:v>
      </x:c>
      <x:c r="P309" t="str">
        <x:v>Yes</x:v>
      </x:c>
      <x:c r="Q309" t="str">
        <x:v>No</x:v>
      </x:c>
      <x:c r="R309" s="6"/>
      <x:c r="S309" t="str">
        <x:f>IF(E309="","Unique",IF(COUNTIF($E$2:E309,E309)&gt;1,"Duplicate","Unique"))</x:f>
        <x:v>Unique</x:v>
      </x:c>
      <x:c r="T309" t="str">
        <x:f>IF(J309="Unassigned","Yes","No")</x:f>
        <x:v>No</x:v>
      </x:c>
      <x:c r="U309" t="str">
        <x:f>IF(AND(E309="",F309=""),"Yes","No")</x:f>
        <x:v>No</x:v>
      </x:c>
      <x:c r="V309" t="str">
        <x:f>IF(AND('Dashboard'!$B$2-L309&gt;30,I309&lt;&gt;"Closed Won",I309&lt;&gt;"Closed Lost"),"Yes","No")</x:f>
        <x:v>No</x:v>
      </x:c>
      <x:c r="W309" t="str">
        <x:f>IF(AND(M309&lt;&gt;"",M309&lt;'Dashboard'!$B$2,I309&lt;&gt;"Closed Won",I309&lt;&gt;"Closed Lost"),"Yes","No")</x:f>
        <x:v>No</x:v>
      </x:c>
      <x:c r="X309" t="str">
        <x:f>IF(OR(S309="Duplicate",T309="Yes",U309="Yes",D309="Unknown",W309="Yes"),"Yes","No")</x:f>
        <x:v>No</x:v>
      </x:c>
      <x:c r="Y309" t="n">
        <x:f>IF(S309="Duplicate",0,1)</x:f>
        <x:v>1</x:v>
      </x:c>
    </x:row>
    <x:row r="310">
      <x:c r="A310" t="str">
        <x:v>L-0309</x:v>
      </x:c>
      <x:c r="B310" t="str">
        <x:v>Sophia</x:v>
      </x:c>
      <x:c r="C310" t="str">
        <x:v>Johnson</x:v>
      </x:c>
      <x:c r="D310" t="str">
        <x:v>Pioneer Tech</x:v>
      </x:c>
      <x:c r="E310" t="str">
        <x:v>sophia.johnson294@prospect.co</x:v>
      </x:c>
      <x:c r="F310" t="str">
        <x:v>639-733-4748</x:v>
      </x:c>
      <x:c r="G310" t="str">
        <x:v>OH</x:v>
      </x:c>
      <x:c r="H310" t="str">
        <x:v>Trade Show</x:v>
      </x:c>
      <x:c r="I310" t="str">
        <x:v>Opportunity</x:v>
      </x:c>
      <x:c r="J310" t="str">
        <x:v>Alex Kim</x:v>
      </x:c>
      <x:c r="K310" s="6" t="n">
        <x:v>46200</x:v>
      </x:c>
      <x:c r="L310" s="6" t="n">
        <x:v>46228</x:v>
      </x:c>
      <x:c r="M310" s="6" t="n">
        <x:v>46242</x:v>
      </x:c>
      <x:c r="N310" s="8" t="n">
        <x:v>68400</x:v>
      </x:c>
      <x:c r="O310" t="str">
        <x:v>Retail</x:v>
      </x:c>
      <x:c r="P310" t="str">
        <x:v>Yes</x:v>
      </x:c>
      <x:c r="Q310" t="str">
        <x:v>No</x:v>
      </x:c>
      <x:c r="R310" s="6"/>
      <x:c r="S310" t="str">
        <x:f>IF(E310="","Unique",IF(COUNTIF($E$2:E310,E310)&gt;1,"Duplicate","Unique"))</x:f>
        <x:v>Unique</x:v>
      </x:c>
      <x:c r="T310" t="str">
        <x:f>IF(J310="Unassigned","Yes","No")</x:f>
        <x:v>No</x:v>
      </x:c>
      <x:c r="U310" t="str">
        <x:f>IF(AND(E310="",F310=""),"Yes","No")</x:f>
        <x:v>No</x:v>
      </x:c>
      <x:c r="V310" t="str">
        <x:f>IF(AND('Dashboard'!$B$2-L310&gt;30,I310&lt;&gt;"Closed Won",I310&lt;&gt;"Closed Lost"),"Yes","No")</x:f>
        <x:v>No</x:v>
      </x:c>
      <x:c r="W310" t="str">
        <x:f>IF(AND(M310&lt;&gt;"",M310&lt;'Dashboard'!$B$2,I310&lt;&gt;"Closed Won",I310&lt;&gt;"Closed Lost"),"Yes","No")</x:f>
        <x:v>Yes</x:v>
      </x:c>
      <x:c r="X310" t="str">
        <x:f>IF(OR(S310="Duplicate",T310="Yes",U310="Yes",D310="Unknown",W310="Yes"),"Yes","No")</x:f>
        <x:v>Yes</x:v>
      </x:c>
      <x:c r="Y310" t="n">
        <x:f>IF(S310="Duplicate",0,1)</x:f>
        <x:v>1</x:v>
      </x:c>
    </x:row>
    <x:row r="311">
      <x:c r="A311" t="str">
        <x:v>L-0310</x:v>
      </x:c>
      <x:c r="B311" t="str">
        <x:v>Ava</x:v>
      </x:c>
      <x:c r="C311" t="str">
        <x:v>Taylor</x:v>
      </x:c>
      <x:c r="D311" t="str">
        <x:v>Blue Ridge Supply</x:v>
      </x:c>
      <x:c r="E311" t="str">
        <x:v>ava.taylor195@northmail.com</x:v>
      </x:c>
      <x:c r="F311" t="str">
        <x:v>(932) 635-9754</x:v>
      </x:c>
      <x:c r="G311" t="str">
        <x:v>NC</x:v>
      </x:c>
      <x:c r="H311" t="str">
        <x:v>Webinar</x:v>
      </x:c>
      <x:c r="I311" t="str">
        <x:v>Closed Lost</x:v>
      </x:c>
      <x:c r="J311" t="str">
        <x:v>Alex Kim</x:v>
      </x:c>
      <x:c r="K311" s="6" t="n">
        <x:v>46110</x:v>
      </x:c>
      <x:c r="L311" s="6" t="n">
        <x:v>46141</x:v>
      </x:c>
      <x:c r="M311" s="6"/>
      <x:c r="N311" s="8" t="n">
        <x:v>36000</x:v>
      </x:c>
      <x:c r="O311" t="str">
        <x:v>Logistics</x:v>
      </x:c>
      <x:c r="P311" t="str">
        <x:v>Yes</x:v>
      </x:c>
      <x:c r="Q311" t="str">
        <x:v>No</x:v>
      </x:c>
      <x:c r="R311" s="6" t="n">
        <x:v>46149</x:v>
      </x:c>
      <x:c r="S311" t="str">
        <x:f>IF(E311="","Unique",IF(COUNTIF($E$2:E311,E311)&gt;1,"Duplicate","Unique"))</x:f>
        <x:v>Unique</x:v>
      </x:c>
      <x:c r="T311" t="str">
        <x:f>IF(J311="Unassigned","Yes","No")</x:f>
        <x:v>No</x:v>
      </x:c>
      <x:c r="U311" t="str">
        <x:f>IF(AND(E311="",F311=""),"Yes","No")</x:f>
        <x:v>No</x:v>
      </x:c>
      <x:c r="V311" t="str">
        <x:f>IF(AND('Dashboard'!$B$2-L311&gt;30,I311&lt;&gt;"Closed Won",I311&lt;&gt;"Closed Lost"),"Yes","No")</x:f>
        <x:v>No</x:v>
      </x:c>
      <x:c r="W311" t="str">
        <x:f>IF(AND(M311&lt;&gt;"",M311&lt;'Dashboard'!$B$2,I311&lt;&gt;"Closed Won",I311&lt;&gt;"Closed Lost"),"Yes","No")</x:f>
        <x:v>No</x:v>
      </x:c>
      <x:c r="X311" t="str">
        <x:f>IF(OR(S311="Duplicate",T311="Yes",U311="Yes",D311="Unknown",W311="Yes"),"Yes","No")</x:f>
        <x:v>No</x:v>
      </x:c>
      <x:c r="Y311" t="n">
        <x:f>IF(S311="Duplicate",0,1)</x:f>
        <x:v>1</x:v>
      </x:c>
    </x:row>
    <x:row r="312">
      <x:c r="A312" t="str">
        <x:v>L-0311</x:v>
      </x:c>
      <x:c r="B312" t="str">
        <x:v>Logan</x:v>
      </x:c>
      <x:c r="C312" t="str">
        <x:v>Jones</x:v>
      </x:c>
      <x:c r="D312" t="str">
        <x:v>Pioneer Tech</x:v>
      </x:c>
      <x:c r="E312" t="str">
        <x:v>logan.jones872@northmail.com</x:v>
      </x:c>
      <x:c r="F312" t="str">
        <x:v>(498) 506-8915</x:v>
      </x:c>
      <x:c r="G312" t="str">
        <x:v>AZ</x:v>
      </x:c>
      <x:c r="H312" t="str">
        <x:v>Webinar</x:v>
      </x:c>
      <x:c r="I312" t="str">
        <x:v>New</x:v>
      </x:c>
      <x:c r="J312" t="str">
        <x:v>Alex Kim</x:v>
      </x:c>
      <x:c r="K312" s="6" t="n">
        <x:v>46218</x:v>
      </x:c>
      <x:c r="L312" s="6" t="n">
        <x:v>46239</x:v>
      </x:c>
      <x:c r="M312" s="6" t="n">
        <x:v>46263</x:v>
      </x:c>
      <x:c r="N312" s="8" t="n">
        <x:v>23100</x:v>
      </x:c>
      <x:c r="O312" t="str">
        <x:v>Healthcare</x:v>
      </x:c>
      <x:c r="P312" t="str">
        <x:v>No</x:v>
      </x:c>
      <x:c r="Q312" t="str">
        <x:v>No</x:v>
      </x:c>
      <x:c r="R312" s="6"/>
      <x:c r="S312" t="str">
        <x:f>IF(E312="","Unique",IF(COUNTIF($E$2:E312,E312)&gt;1,"Duplicate","Unique"))</x:f>
        <x:v>Unique</x:v>
      </x:c>
      <x:c r="T312" t="str">
        <x:f>IF(J312="Unassigned","Yes","No")</x:f>
        <x:v>No</x:v>
      </x:c>
      <x:c r="U312" t="str">
        <x:f>IF(AND(E312="",F312=""),"Yes","No")</x:f>
        <x:v>No</x:v>
      </x:c>
      <x:c r="V312" t="str">
        <x:f>IF(AND('Dashboard'!$B$2-L312&gt;30,I312&lt;&gt;"Closed Won",I312&lt;&gt;"Closed Lost"),"Yes","No")</x:f>
        <x:v>No</x:v>
      </x:c>
      <x:c r="W312" t="str">
        <x:f>IF(AND(M312&lt;&gt;"",M312&lt;'Dashboard'!$B$2,I312&lt;&gt;"Closed Won",I312&lt;&gt;"Closed Lost"),"Yes","No")</x:f>
        <x:v>No</x:v>
      </x:c>
      <x:c r="X312" t="str">
        <x:f>IF(OR(S312="Duplicate",T312="Yes",U312="Yes",D312="Unknown",W312="Yes"),"Yes","No")</x:f>
        <x:v>No</x:v>
      </x:c>
      <x:c r="Y312" t="n">
        <x:f>IF(S312="Duplicate",0,1)</x:f>
        <x:v>1</x:v>
      </x:c>
    </x:row>
    <x:row r="313">
      <x:c r="A313" t="str">
        <x:v>L-0312</x:v>
      </x:c>
      <x:c r="B313" t="str">
        <x:v>Ava</x:v>
      </x:c>
      <x:c r="C313" t="str">
        <x:v>Thompson</x:v>
      </x:c>
      <x:c r="D313" t="str">
        <x:v>Prairie Health</x:v>
      </x:c>
      <x:c r="E313" t="str">
        <x:v>ava.thompson442@mailhub.net</x:v>
      </x:c>
      <x:c r="F313" t="str">
        <x:v>(403) 286-9668</x:v>
      </x:c>
      <x:c r="G313" t="str">
        <x:v>NY</x:v>
      </x:c>
      <x:c r="H313" t="str">
        <x:v>Referral</x:v>
      </x:c>
      <x:c r="I313" t="str">
        <x:v>New</x:v>
      </x:c>
      <x:c r="J313" t="str">
        <x:v>Jordan Lee</x:v>
      </x:c>
      <x:c r="K313" s="6" t="n">
        <x:v>46062</x:v>
      </x:c>
      <x:c r="L313" s="6" t="n">
        <x:v>46109</x:v>
      </x:c>
      <x:c r="M313" s="6" t="n">
        <x:v>46124</x:v>
      </x:c>
      <x:c r="N313" s="8" t="n">
        <x:v>31700</x:v>
      </x:c>
      <x:c r="O313" t="str">
        <x:v>Biotech</x:v>
      </x:c>
      <x:c r="P313" t="str">
        <x:v>No</x:v>
      </x:c>
      <x:c r="Q313" t="str">
        <x:v>No</x:v>
      </x:c>
      <x:c r="R313" s="6"/>
      <x:c r="S313" t="str">
        <x:f>IF(E313="","Unique",IF(COUNTIF($E$2:E313,E313)&gt;1,"Duplicate","Unique"))</x:f>
        <x:v>Unique</x:v>
      </x:c>
      <x:c r="T313" t="str">
        <x:f>IF(J313="Unassigned","Yes","No")</x:f>
        <x:v>No</x:v>
      </x:c>
      <x:c r="U313" t="str">
        <x:f>IF(AND(E313="",F313=""),"Yes","No")</x:f>
        <x:v>No</x:v>
      </x:c>
      <x:c r="V313" t="str">
        <x:f>IF(AND('Dashboard'!$B$2-L313&gt;30,I313&lt;&gt;"Closed Won",I313&lt;&gt;"Closed Lost"),"Yes","No")</x:f>
        <x:v>Yes</x:v>
      </x:c>
      <x:c r="W313" t="str">
        <x:f>IF(AND(M313&lt;&gt;"",M313&lt;'Dashboard'!$B$2,I313&lt;&gt;"Closed Won",I313&lt;&gt;"Closed Lost"),"Yes","No")</x:f>
        <x:v>Yes</x:v>
      </x:c>
      <x:c r="X313" t="str">
        <x:f>IF(OR(S313="Duplicate",T313="Yes",U313="Yes",D313="Unknown",W313="Yes"),"Yes","No")</x:f>
        <x:v>Yes</x:v>
      </x:c>
      <x:c r="Y313" t="n">
        <x:f>IF(S313="Duplicate",0,1)</x:f>
        <x:v>1</x:v>
      </x:c>
    </x:row>
    <x:row r="314">
      <x:c r="A314" t="str">
        <x:v>L-0313</x:v>
      </x:c>
      <x:c r="B314" t="str">
        <x:v>Harper</x:v>
      </x:c>
      <x:c r="C314" t="str">
        <x:v>Garcia</x:v>
      </x:c>
      <x:c r="D314" t="str">
        <x:v>Blue Ridge Supply</x:v>
      </x:c>
      <x:c r="E314" t="str">
        <x:v>harper.garcia137@mailhub.net</x:v>
      </x:c>
      <x:c r="F314" t="str">
        <x:v>(632) 961-6426</x:v>
      </x:c>
      <x:c r="G314" t="str">
        <x:v>PA</x:v>
      </x:c>
      <x:c r="H314" t="str">
        <x:v>Webinar</x:v>
      </x:c>
      <x:c r="I314" t="str">
        <x:v>Contacted</x:v>
      </x:c>
      <x:c r="J314" t="str">
        <x:v>Jordan Lee</x:v>
      </x:c>
      <x:c r="K314" s="6" t="n">
        <x:v>46065</x:v>
      </x:c>
      <x:c r="L314" s="6" t="n">
        <x:v>46115</x:v>
      </x:c>
      <x:c r="M314" s="6" t="n">
        <x:v>46121</x:v>
      </x:c>
      <x:c r="N314" s="8" t="n">
        <x:v>18100</x:v>
      </x:c>
      <x:c r="O314" t="str">
        <x:v>Biotech</x:v>
      </x:c>
      <x:c r="P314" t="str">
        <x:v>No</x:v>
      </x:c>
      <x:c r="Q314" t="str">
        <x:v>No</x:v>
      </x:c>
      <x:c r="R314" s="6"/>
      <x:c r="S314" t="str">
        <x:f>IF(E314="","Unique",IF(COUNTIF($E$2:E314,E314)&gt;1,"Duplicate","Unique"))</x:f>
        <x:v>Unique</x:v>
      </x:c>
      <x:c r="T314" t="str">
        <x:f>IF(J314="Unassigned","Yes","No")</x:f>
        <x:v>No</x:v>
      </x:c>
      <x:c r="U314" t="str">
        <x:f>IF(AND(E314="",F314=""),"Yes","No")</x:f>
        <x:v>No</x:v>
      </x:c>
      <x:c r="V314" t="str">
        <x:f>IF(AND('Dashboard'!$B$2-L314&gt;30,I314&lt;&gt;"Closed Won",I314&lt;&gt;"Closed Lost"),"Yes","No")</x:f>
        <x:v>Yes</x:v>
      </x:c>
      <x:c r="W314" t="str">
        <x:f>IF(AND(M314&lt;&gt;"",M314&lt;'Dashboard'!$B$2,I314&lt;&gt;"Closed Won",I314&lt;&gt;"Closed Lost"),"Yes","No")</x:f>
        <x:v>Yes</x:v>
      </x:c>
      <x:c r="X314" t="str">
        <x:f>IF(OR(S314="Duplicate",T314="Yes",U314="Yes",D314="Unknown",W314="Yes"),"Yes","No")</x:f>
        <x:v>Yes</x:v>
      </x:c>
      <x:c r="Y314" t="n">
        <x:f>IF(S314="Duplicate",0,1)</x:f>
        <x:v>1</x:v>
      </x:c>
    </x:row>
    <x:row r="315">
      <x:c r="A315" t="str">
        <x:v>L-0314</x:v>
      </x:c>
      <x:c r="B315" t="str">
        <x:v>Noah</x:v>
      </x:c>
      <x:c r="C315" t="str">
        <x:v>Smith</x:v>
      </x:c>
      <x:c r="D315" t="str">
        <x:v>Blue Ridge Supply</x:v>
      </x:c>
      <x:c r="E315" t="str">
        <x:v>noah.smith440@northmail.com</x:v>
      </x:c>
      <x:c r="F315" t="str">
        <x:v>(645) 691-5742</x:v>
      </x:c>
      <x:c r="G315" t="str">
        <x:v>IL</x:v>
      </x:c>
      <x:c r="H315" t="str">
        <x:v>Webinar</x:v>
      </x:c>
      <x:c r="I315" t="str">
        <x:v>Closed Won</x:v>
      </x:c>
      <x:c r="J315" t="str">
        <x:v>Casey Patel</x:v>
      </x:c>
      <x:c r="K315" s="6" t="n">
        <x:v>46186</x:v>
      </x:c>
      <x:c r="L315" s="6" t="n">
        <x:v>46192</x:v>
      </x:c>
      <x:c r="M315" s="6"/>
      <x:c r="N315" s="8" t="n">
        <x:v>58500</x:v>
      </x:c>
      <x:c r="O315" t="str">
        <x:v>Manufacturing</x:v>
      </x:c>
      <x:c r="P315" t="str">
        <x:v>Yes</x:v>
      </x:c>
      <x:c r="Q315" t="str">
        <x:v>Yes</x:v>
      </x:c>
      <x:c r="R315" s="6" t="n">
        <x:v>46196</x:v>
      </x:c>
      <x:c r="S315" t="str">
        <x:f>IF(E315="","Unique",IF(COUNTIF($E$2:E315,E315)&gt;1,"Duplicate","Unique"))</x:f>
        <x:v>Unique</x:v>
      </x:c>
      <x:c r="T315" t="str">
        <x:f>IF(J315="Unassigned","Yes","No")</x:f>
        <x:v>No</x:v>
      </x:c>
      <x:c r="U315" t="str">
        <x:f>IF(AND(E315="",F315=""),"Yes","No")</x:f>
        <x:v>No</x:v>
      </x:c>
      <x:c r="V315" t="str">
        <x:f>IF(AND('Dashboard'!$B$2-L315&gt;30,I315&lt;&gt;"Closed Won",I315&lt;&gt;"Closed Lost"),"Yes","No")</x:f>
        <x:v>No</x:v>
      </x:c>
      <x:c r="W315" t="str">
        <x:f>IF(AND(M315&lt;&gt;"",M315&lt;'Dashboard'!$B$2,I315&lt;&gt;"Closed Won",I315&lt;&gt;"Closed Lost"),"Yes","No")</x:f>
        <x:v>No</x:v>
      </x:c>
      <x:c r="X315" t="str">
        <x:f>IF(OR(S315="Duplicate",T315="Yes",U315="Yes",D315="Unknown",W315="Yes"),"Yes","No")</x:f>
        <x:v>No</x:v>
      </x:c>
      <x:c r="Y315" t="n">
        <x:f>IF(S315="Duplicate",0,1)</x:f>
        <x:v>1</x:v>
      </x:c>
    </x:row>
    <x:row r="316">
      <x:c r="A316" t="str">
        <x:v>L-0315</x:v>
      </x:c>
      <x:c r="B316" t="str">
        <x:v>Noah</x:v>
      </x:c>
      <x:c r="C316" t="str">
        <x:v>Martin</x:v>
      </x:c>
      <x:c r="D316" t="str">
        <x:v>Cedarworks</x:v>
      </x:c>
      <x:c r="E316" t="str">
        <x:v>noah.martin952@examplebiz.com</x:v>
      </x:c>
      <x:c r="F316" t="str">
        <x:v>(637) 218-4270</x:v>
      </x:c>
      <x:c r="G316" t="str">
        <x:v>WA</x:v>
      </x:c>
      <x:c r="H316" t="str">
        <x:v>Trade Show</x:v>
      </x:c>
      <x:c r="I316" t="str">
        <x:v>New</x:v>
      </x:c>
      <x:c r="J316" t="str">
        <x:v>Unassigned</x:v>
      </x:c>
      <x:c r="K316" s="6" t="n">
        <x:v>46216</x:v>
      </x:c>
      <x:c r="L316" s="6" t="n">
        <x:v>46224</x:v>
      </x:c>
      <x:c r="M316" s="6" t="n">
        <x:v>46239</x:v>
      </x:c>
      <x:c r="N316" s="8" t="n">
        <x:v>5700</x:v>
      </x:c>
      <x:c r="O316" t="str">
        <x:v>Retail</x:v>
      </x:c>
      <x:c r="P316" t="str">
        <x:v>No</x:v>
      </x:c>
      <x:c r="Q316" t="str">
        <x:v>No</x:v>
      </x:c>
      <x:c r="R316" s="6"/>
      <x:c r="S316" t="str">
        <x:f>IF(E316="","Unique",IF(COUNTIF($E$2:E316,E316)&gt;1,"Duplicate","Unique"))</x:f>
        <x:v>Unique</x:v>
      </x:c>
      <x:c r="T316" t="str">
        <x:f>IF(J316="Unassigned","Yes","No")</x:f>
        <x:v>Yes</x:v>
      </x:c>
      <x:c r="U316" t="str">
        <x:f>IF(AND(E316="",F316=""),"Yes","No")</x:f>
        <x:v>No</x:v>
      </x:c>
      <x:c r="V316" t="str">
        <x:f>IF(AND('Dashboard'!$B$2-L316&gt;30,I316&lt;&gt;"Closed Won",I316&lt;&gt;"Closed Lost"),"Yes","No")</x:f>
        <x:v>No</x:v>
      </x:c>
      <x:c r="W316" t="str">
        <x:f>IF(AND(M316&lt;&gt;"",M316&lt;'Dashboard'!$B$2,I316&lt;&gt;"Closed Won",I316&lt;&gt;"Closed Lost"),"Yes","No")</x:f>
        <x:v>Yes</x:v>
      </x:c>
      <x:c r="X316" t="str">
        <x:f>IF(OR(S316="Duplicate",T316="Yes",U316="Yes",D316="Unknown",W316="Yes"),"Yes","No")</x:f>
        <x:v>Yes</x:v>
      </x:c>
      <x:c r="Y316" t="n">
        <x:f>IF(S316="Duplicate",0,1)</x:f>
        <x:v>1</x:v>
      </x:c>
    </x:row>
    <x:row r="317">
      <x:c r="A317" t="str">
        <x:v>L-0316</x:v>
      </x:c>
      <x:c r="B317" t="str">
        <x:v>Sophia</x:v>
      </x:c>
      <x:c r="C317" t="str">
        <x:v>Anderson</x:v>
      </x:c>
      <x:c r="D317" t="str">
        <x:v>Vertex Solutions</x:v>
      </x:c>
      <x:c r="E317" t="str">
        <x:v>sophia.anderson293@mailhub.net</x:v>
      </x:c>
      <x:c r="F317" t="str">
        <x:v>(487) 821-2650</x:v>
      </x:c>
      <x:c r="G317" t="str">
        <x:v>IL</x:v>
      </x:c>
      <x:c r="H317" t="str">
        <x:v>Email Campaign</x:v>
      </x:c>
      <x:c r="I317" t="str">
        <x:v>New</x:v>
      </x:c>
      <x:c r="J317" t="str">
        <x:v>Taylor Morgan</x:v>
      </x:c>
      <x:c r="K317" s="6" t="n">
        <x:v>46246</x:v>
      </x:c>
      <x:c r="L317" s="6" t="n">
        <x:v>46246</x:v>
      </x:c>
      <x:c r="M317" s="6" t="n">
        <x:v>46270</x:v>
      </x:c>
      <x:c r="N317" s="8" t="n">
        <x:v>63900</x:v>
      </x:c>
      <x:c r="O317" t="str">
        <x:v>Retail</x:v>
      </x:c>
      <x:c r="P317" t="str">
        <x:v>No</x:v>
      </x:c>
      <x:c r="Q317" t="str">
        <x:v>No</x:v>
      </x:c>
      <x:c r="R317" s="6"/>
      <x:c r="S317" t="str">
        <x:f>IF(E317="","Unique",IF(COUNTIF($E$2:E317,E317)&gt;1,"Duplicate","Unique"))</x:f>
        <x:v>Unique</x:v>
      </x:c>
      <x:c r="T317" t="str">
        <x:f>IF(J317="Unassigned","Yes","No")</x:f>
        <x:v>No</x:v>
      </x:c>
      <x:c r="U317" t="str">
        <x:f>IF(AND(E317="",F317=""),"Yes","No")</x:f>
        <x:v>No</x:v>
      </x:c>
      <x:c r="V317" t="str">
        <x:f>IF(AND('Dashboard'!$B$2-L317&gt;30,I317&lt;&gt;"Closed Won",I317&lt;&gt;"Closed Lost"),"Yes","No")</x:f>
        <x:v>No</x:v>
      </x:c>
      <x:c r="W317" t="str">
        <x:f>IF(AND(M317&lt;&gt;"",M317&lt;'Dashboard'!$B$2,I317&lt;&gt;"Closed Won",I317&lt;&gt;"Closed Lost"),"Yes","No")</x:f>
        <x:v>No</x:v>
      </x:c>
      <x:c r="X317" t="str">
        <x:f>IF(OR(S317="Duplicate",T317="Yes",U317="Yes",D317="Unknown",W317="Yes"),"Yes","No")</x:f>
        <x:v>No</x:v>
      </x:c>
      <x:c r="Y317" t="n">
        <x:f>IF(S317="Duplicate",0,1)</x:f>
        <x:v>1</x:v>
      </x:c>
    </x:row>
    <x:row r="318">
      <x:c r="A318" t="str">
        <x:v>L-0317</x:v>
      </x:c>
      <x:c r="B318" t="str">
        <x:v>Olivia</x:v>
      </x:c>
      <x:c r="C318" t="str">
        <x:v>Perez</x:v>
      </x:c>
      <x:c r="D318" t="str">
        <x:v>Silverline Foods</x:v>
      </x:c>
      <x:c r="E318" t="str">
        <x:v>olivia.perez838@examplebiz.com</x:v>
      </x:c>
      <x:c r="F318" t="str">
        <x:v>(398) 921-8303</x:v>
      </x:c>
      <x:c r="G318" t="str">
        <x:v>TX</x:v>
      </x:c>
      <x:c r="H318" t="str">
        <x:v>Website</x:v>
      </x:c>
      <x:c r="I318" t="str">
        <x:v>Opportunity</x:v>
      </x:c>
      <x:c r="J318" t="str">
        <x:v>Jamie Brooks</x:v>
      </x:c>
      <x:c r="K318" s="6" t="n">
        <x:v>46216</x:v>
      </x:c>
      <x:c r="L318" s="6" t="n">
        <x:v>46218</x:v>
      </x:c>
      <x:c r="M318" s="6" t="n">
        <x:v>46239</x:v>
      </x:c>
      <x:c r="N318" s="8" t="n">
        <x:v>82400</x:v>
      </x:c>
      <x:c r="O318" t="str">
        <x:v>Technology</x:v>
      </x:c>
      <x:c r="P318" t="str">
        <x:v>Yes</x:v>
      </x:c>
      <x:c r="Q318" t="str">
        <x:v>No</x:v>
      </x:c>
      <x:c r="R318" s="6"/>
      <x:c r="S318" t="str">
        <x:f>IF(E318="","Unique",IF(COUNTIF($E$2:E318,E318)&gt;1,"Duplicate","Unique"))</x:f>
        <x:v>Unique</x:v>
      </x:c>
      <x:c r="T318" t="str">
        <x:f>IF(J318="Unassigned","Yes","No")</x:f>
        <x:v>No</x:v>
      </x:c>
      <x:c r="U318" t="str">
        <x:f>IF(AND(E318="",F318=""),"Yes","No")</x:f>
        <x:v>No</x:v>
      </x:c>
      <x:c r="V318" t="str">
        <x:f>IF(AND('Dashboard'!$B$2-L318&gt;30,I318&lt;&gt;"Closed Won",I318&lt;&gt;"Closed Lost"),"Yes","No")</x:f>
        <x:v>Yes</x:v>
      </x:c>
      <x:c r="W318" t="str">
        <x:f>IF(AND(M318&lt;&gt;"",M318&lt;'Dashboard'!$B$2,I318&lt;&gt;"Closed Won",I318&lt;&gt;"Closed Lost"),"Yes","No")</x:f>
        <x:v>Yes</x:v>
      </x:c>
      <x:c r="X318" t="str">
        <x:f>IF(OR(S318="Duplicate",T318="Yes",U318="Yes",D318="Unknown",W318="Yes"),"Yes","No")</x:f>
        <x:v>Yes</x:v>
      </x:c>
      <x:c r="Y318" t="n">
        <x:f>IF(S318="Duplicate",0,1)</x:f>
        <x:v>1</x:v>
      </x:c>
    </x:row>
    <x:row r="319">
      <x:c r="A319" t="str">
        <x:v>L-0318</x:v>
      </x:c>
      <x:c r="B319" t="str">
        <x:v>Logan</x:v>
      </x:c>
      <x:c r="C319" t="str">
        <x:v>Moore</x:v>
      </x:c>
      <x:c r="D319" t="str">
        <x:v>Summit Analytics</x:v>
      </x:c>
      <x:c r="E319" t="str">
        <x:v>logan.moore991@examplebiz.com</x:v>
      </x:c>
      <x:c r="F319" t="str">
        <x:v>(497) 246-1996</x:v>
      </x:c>
      <x:c r="G319" t="str">
        <x:v>TX</x:v>
      </x:c>
      <x:c r="H319" t="str">
        <x:v>Webinar</x:v>
      </x:c>
      <x:c r="I319" t="str">
        <x:v>Qualified</x:v>
      </x:c>
      <x:c r="J319" t="str">
        <x:v>Jamie Brooks</x:v>
      </x:c>
      <x:c r="K319" s="6" t="n">
        <x:v>46118</x:v>
      </x:c>
      <x:c r="L319" s="6" t="n">
        <x:v>46123</x:v>
      </x:c>
      <x:c r="M319" s="6" t="n">
        <x:v>46131</x:v>
      </x:c>
      <x:c r="N319" s="8" t="n">
        <x:v>51900</x:v>
      </x:c>
      <x:c r="O319" t="str">
        <x:v>Professional Services</x:v>
      </x:c>
      <x:c r="P319" t="str">
        <x:v>Yes</x:v>
      </x:c>
      <x:c r="Q319" t="str">
        <x:v>No</x:v>
      </x:c>
      <x:c r="R319" s="6"/>
      <x:c r="S319" t="str">
        <x:f>IF(E319="","Unique",IF(COUNTIF($E$2:E319,E319)&gt;1,"Duplicate","Unique"))</x:f>
        <x:v>Unique</x:v>
      </x:c>
      <x:c r="T319" t="str">
        <x:f>IF(J319="Unassigned","Yes","No")</x:f>
        <x:v>No</x:v>
      </x:c>
      <x:c r="U319" t="str">
        <x:f>IF(AND(E319="",F319=""),"Yes","No")</x:f>
        <x:v>No</x:v>
      </x:c>
      <x:c r="V319" t="str">
        <x:f>IF(AND('Dashboard'!$B$2-L319&gt;30,I319&lt;&gt;"Closed Won",I319&lt;&gt;"Closed Lost"),"Yes","No")</x:f>
        <x:v>Yes</x:v>
      </x:c>
      <x:c r="W319" t="str">
        <x:f>IF(AND(M319&lt;&gt;"",M319&lt;'Dashboard'!$B$2,I319&lt;&gt;"Closed Won",I319&lt;&gt;"Closed Lost"),"Yes","No")</x:f>
        <x:v>Yes</x:v>
      </x:c>
      <x:c r="X319" t="str">
        <x:f>IF(OR(S319="Duplicate",T319="Yes",U319="Yes",D319="Unknown",W319="Yes"),"Yes","No")</x:f>
        <x:v>Yes</x:v>
      </x:c>
      <x:c r="Y319" t="n">
        <x:f>IF(S319="Duplicate",0,1)</x:f>
        <x:v>1</x:v>
      </x:c>
    </x:row>
    <x:row r="320">
      <x:c r="A320" t="str">
        <x:v>L-0319</x:v>
      </x:c>
      <x:c r="B320" t="str">
        <x:v>Ava</x:v>
      </x:c>
      <x:c r="C320" t="str">
        <x:v>Garcia</x:v>
      </x:c>
      <x:c r="D320" t="str">
        <x:v>Apex Manufacturing</x:v>
      </x:c>
      <x:c r="E320" t="str">
        <x:v>ava.garcia726@prospect.co</x:v>
      </x:c>
      <x:c r="F320" t="str">
        <x:v>(766) 321-3803</x:v>
      </x:c>
      <x:c r="G320" t="str">
        <x:v>GA</x:v>
      </x:c>
      <x:c r="H320" t="str">
        <x:v>Webinar</x:v>
      </x:c>
      <x:c r="I320" t="str">
        <x:v>Opportunity</x:v>
      </x:c>
      <x:c r="J320" t="str">
        <x:v>Casey Patel</x:v>
      </x:c>
      <x:c r="K320" s="6" t="n">
        <x:v>46112</x:v>
      </x:c>
      <x:c r="L320" s="6" t="n">
        <x:v>46178</x:v>
      </x:c>
      <x:c r="M320" s="6" t="n">
        <x:v>46190</x:v>
      </x:c>
      <x:c r="N320" s="8" t="n">
        <x:v>72800</x:v>
      </x:c>
      <x:c r="O320" t="str">
        <x:v>Healthcare</x:v>
      </x:c>
      <x:c r="P320" t="str">
        <x:v>Yes</x:v>
      </x:c>
      <x:c r="Q320" t="str">
        <x:v>No</x:v>
      </x:c>
      <x:c r="R320" s="6"/>
      <x:c r="S320" t="str">
        <x:f>IF(E320="","Unique",IF(COUNTIF($E$2:E320,E320)&gt;1,"Duplicate","Unique"))</x:f>
        <x:v>Unique</x:v>
      </x:c>
      <x:c r="T320" t="str">
        <x:f>IF(J320="Unassigned","Yes","No")</x:f>
        <x:v>No</x:v>
      </x:c>
      <x:c r="U320" t="str">
        <x:f>IF(AND(E320="",F320=""),"Yes","No")</x:f>
        <x:v>No</x:v>
      </x:c>
      <x:c r="V320" t="str">
        <x:f>IF(AND('Dashboard'!$B$2-L320&gt;30,I320&lt;&gt;"Closed Won",I320&lt;&gt;"Closed Lost"),"Yes","No")</x:f>
        <x:v>Yes</x:v>
      </x:c>
      <x:c r="W320" t="str">
        <x:f>IF(AND(M320&lt;&gt;"",M320&lt;'Dashboard'!$B$2,I320&lt;&gt;"Closed Won",I320&lt;&gt;"Closed Lost"),"Yes","No")</x:f>
        <x:v>Yes</x:v>
      </x:c>
      <x:c r="X320" t="str">
        <x:f>IF(OR(S320="Duplicate",T320="Yes",U320="Yes",D320="Unknown",W320="Yes"),"Yes","No")</x:f>
        <x:v>Yes</x:v>
      </x:c>
      <x:c r="Y320" t="n">
        <x:f>IF(S320="Duplicate",0,1)</x:f>
        <x:v>1</x:v>
      </x:c>
    </x:row>
    <x:row r="321">
      <x:c r="A321" t="str">
        <x:v>L-0320</x:v>
      </x:c>
      <x:c r="B321" t="str">
        <x:v>Logan</x:v>
      </x:c>
      <x:c r="C321" t="str">
        <x:v>Thompson</x:v>
      </x:c>
      <x:c r="D321" t="str">
        <x:v>Pioneer Tech</x:v>
      </x:c>
      <x:c r="E321" t="str">
        <x:v>logan.thompson302@prospect.co</x:v>
      </x:c>
      <x:c r="F321" t="str">
        <x:v>(259) 840-1170</x:v>
      </x:c>
      <x:c r="G321" t="str">
        <x:v>TX</x:v>
      </x:c>
      <x:c r="H321" t="str">
        <x:v>Outbound</x:v>
      </x:c>
      <x:c r="I321" t="str">
        <x:v>Closed Won</x:v>
      </x:c>
      <x:c r="J321" t="str">
        <x:v>Alex Kim</x:v>
      </x:c>
      <x:c r="K321" s="6" t="n">
        <x:v>46179</x:v>
      </x:c>
      <x:c r="L321" s="6" t="n">
        <x:v>46196</x:v>
      </x:c>
      <x:c r="M321" s="6"/>
      <x:c r="N321" s="8" t="n">
        <x:v>36200</x:v>
      </x:c>
      <x:c r="O321" t="str">
        <x:v>Biotech</x:v>
      </x:c>
      <x:c r="P321" t="str">
        <x:v>Yes</x:v>
      </x:c>
      <x:c r="Q321" t="str">
        <x:v>Yes</x:v>
      </x:c>
      <x:c r="R321" s="6" t="n">
        <x:v>46197</x:v>
      </x:c>
      <x:c r="S321" t="str">
        <x:f>IF(E321="","Unique",IF(COUNTIF($E$2:E321,E321)&gt;1,"Duplicate","Unique"))</x:f>
        <x:v>Unique</x:v>
      </x:c>
      <x:c r="T321" t="str">
        <x:f>IF(J321="Unassigned","Yes","No")</x:f>
        <x:v>No</x:v>
      </x:c>
      <x:c r="U321" t="str">
        <x:f>IF(AND(E321="",F321=""),"Yes","No")</x:f>
        <x:v>No</x:v>
      </x:c>
      <x:c r="V321" t="str">
        <x:f>IF(AND('Dashboard'!$B$2-L321&gt;30,I321&lt;&gt;"Closed Won",I321&lt;&gt;"Closed Lost"),"Yes","No")</x:f>
        <x:v>No</x:v>
      </x:c>
      <x:c r="W321" t="str">
        <x:f>IF(AND(M321&lt;&gt;"",M321&lt;'Dashboard'!$B$2,I321&lt;&gt;"Closed Won",I321&lt;&gt;"Closed Lost"),"Yes","No")</x:f>
        <x:v>No</x:v>
      </x:c>
      <x:c r="X321" t="str">
        <x:f>IF(OR(S321="Duplicate",T321="Yes",U321="Yes",D321="Unknown",W321="Yes"),"Yes","No")</x:f>
        <x:v>No</x:v>
      </x:c>
      <x:c r="Y321" t="n">
        <x:f>IF(S321="Duplicate",0,1)</x:f>
        <x:v>1</x:v>
      </x:c>
    </x:row>
    <x:row r="322">
      <x:c r="A322" t="str">
        <x:v>L-0321</x:v>
      </x:c>
      <x:c r="B322" t="str">
        <x:v>Sophia</x:v>
      </x:c>
      <x:c r="C322" t="str">
        <x:v>Miller</x:v>
      </x:c>
      <x:c r="D322" t="str">
        <x:v>Silverline Foods</x:v>
      </x:c>
      <x:c r="E322" t="str">
        <x:v>sophia.miller471@examplebiz.com</x:v>
      </x:c>
      <x:c r="F322" t="str">
        <x:v>(381) 393-9036</x:v>
      </x:c>
      <x:c r="G322" t="str">
        <x:v>NC</x:v>
      </x:c>
      <x:c r="H322" t="str">
        <x:v>Website</x:v>
      </x:c>
      <x:c r="I322" t="str">
        <x:v>Opportunity</x:v>
      </x:c>
      <x:c r="J322" t="str">
        <x:v>Taylor Morgan</x:v>
      </x:c>
      <x:c r="K322" s="6" t="n">
        <x:v>46152</x:v>
      </x:c>
      <x:c r="L322" s="6" t="n">
        <x:v>46170</x:v>
      </x:c>
      <x:c r="M322" s="6" t="n">
        <x:v>46188</x:v>
      </x:c>
      <x:c r="N322" s="8" t="n">
        <x:v>10200</x:v>
      </x:c>
      <x:c r="O322" t="str">
        <x:v>Manufacturing</x:v>
      </x:c>
      <x:c r="P322" t="str">
        <x:v>Yes</x:v>
      </x:c>
      <x:c r="Q322" t="str">
        <x:v>No</x:v>
      </x:c>
      <x:c r="R322" s="6"/>
      <x:c r="S322" t="str">
        <x:f>IF(E322="","Unique",IF(COUNTIF($E$2:E322,E322)&gt;1,"Duplicate","Unique"))</x:f>
        <x:v>Unique</x:v>
      </x:c>
      <x:c r="T322" t="str">
        <x:f>IF(J322="Unassigned","Yes","No")</x:f>
        <x:v>No</x:v>
      </x:c>
      <x:c r="U322" t="str">
        <x:f>IF(AND(E322="",F322=""),"Yes","No")</x:f>
        <x:v>No</x:v>
      </x:c>
      <x:c r="V322" t="str">
        <x:f>IF(AND('Dashboard'!$B$2-L322&gt;30,I322&lt;&gt;"Closed Won",I322&lt;&gt;"Closed Lost"),"Yes","No")</x:f>
        <x:v>Yes</x:v>
      </x:c>
      <x:c r="W322" t="str">
        <x:f>IF(AND(M322&lt;&gt;"",M322&lt;'Dashboard'!$B$2,I322&lt;&gt;"Closed Won",I322&lt;&gt;"Closed Lost"),"Yes","No")</x:f>
        <x:v>Yes</x:v>
      </x:c>
      <x:c r="X322" t="str">
        <x:f>IF(OR(S322="Duplicate",T322="Yes",U322="Yes",D322="Unknown",W322="Yes"),"Yes","No")</x:f>
        <x:v>Yes</x:v>
      </x:c>
      <x:c r="Y322" t="n">
        <x:f>IF(S322="Duplicate",0,1)</x:f>
        <x:v>1</x:v>
      </x:c>
    </x:row>
    <x:row r="323">
      <x:c r="A323" t="str">
        <x:v>L-0322</x:v>
      </x:c>
      <x:c r="B323" t="str">
        <x:v>Emma</x:v>
      </x:c>
      <x:c r="C323" t="str">
        <x:v>Smith</x:v>
      </x:c>
      <x:c r="D323" t="str">
        <x:v>Summit Analytics</x:v>
      </x:c>
      <x:c r="E323" t="str">
        <x:v>emma.smith255@northmail.com</x:v>
      </x:c>
      <x:c r="F323" t="str">
        <x:v>(475) 346-1221</x:v>
      </x:c>
      <x:c r="G323" t="str">
        <x:v>AZ</x:v>
      </x:c>
      <x:c r="H323" t="str">
        <x:v>Website</x:v>
      </x:c>
      <x:c r="I323" t="str">
        <x:v>Closed Won</x:v>
      </x:c>
      <x:c r="J323" t="str">
        <x:v>Unassigned</x:v>
      </x:c>
      <x:c r="K323" s="6" t="n">
        <x:v>46051</x:v>
      </x:c>
      <x:c r="L323" s="6" t="n">
        <x:v>46215</x:v>
      </x:c>
      <x:c r="M323" s="6"/>
      <x:c r="N323" s="8" t="n">
        <x:v>79600</x:v>
      </x:c>
      <x:c r="O323" t="str">
        <x:v>Professional Services</x:v>
      </x:c>
      <x:c r="P323" t="str">
        <x:v>Yes</x:v>
      </x:c>
      <x:c r="Q323" t="str">
        <x:v>Yes</x:v>
      </x:c>
      <x:c r="R323" s="6" t="n">
        <x:v>46216</x:v>
      </x:c>
      <x:c r="S323" t="str">
        <x:f>IF(E323="","Unique",IF(COUNTIF($E$2:E323,E323)&gt;1,"Duplicate","Unique"))</x:f>
        <x:v>Unique</x:v>
      </x:c>
      <x:c r="T323" t="str">
        <x:f>IF(J323="Unassigned","Yes","No")</x:f>
        <x:v>Yes</x:v>
      </x:c>
      <x:c r="U323" t="str">
        <x:f>IF(AND(E323="",F323=""),"Yes","No")</x:f>
        <x:v>No</x:v>
      </x:c>
      <x:c r="V323" t="str">
        <x:f>IF(AND('Dashboard'!$B$2-L323&gt;30,I323&lt;&gt;"Closed Won",I323&lt;&gt;"Closed Lost"),"Yes","No")</x:f>
        <x:v>No</x:v>
      </x:c>
      <x:c r="W323" t="str">
        <x:f>IF(AND(M323&lt;&gt;"",M323&lt;'Dashboard'!$B$2,I323&lt;&gt;"Closed Won",I323&lt;&gt;"Closed Lost"),"Yes","No")</x:f>
        <x:v>No</x:v>
      </x:c>
      <x:c r="X323" t="str">
        <x:f>IF(OR(S323="Duplicate",T323="Yes",U323="Yes",D323="Unknown",W323="Yes"),"Yes","No")</x:f>
        <x:v>Yes</x:v>
      </x:c>
      <x:c r="Y323" t="n">
        <x:f>IF(S323="Duplicate",0,1)</x:f>
        <x:v>1</x:v>
      </x:c>
    </x:row>
    <x:row r="324">
      <x:c r="A324" t="str">
        <x:v>L-0323</x:v>
      </x:c>
      <x:c r="B324" t="str">
        <x:v>Emma</x:v>
      </x:c>
      <x:c r="C324" t="str">
        <x:v>Davis</x:v>
      </x:c>
      <x:c r="D324" t="str">
        <x:v>Unknown</x:v>
      </x:c>
      <x:c r="E324" t="str">
        <x:v>emma.davis908@mailhub.net</x:v>
      </x:c>
      <x:c r="F324" t="str">
        <x:v>(346) 201-4675</x:v>
      </x:c>
      <x:c r="G324" t="str">
        <x:v>OH</x:v>
      </x:c>
      <x:c r="H324" t="str">
        <x:v>Trade Show</x:v>
      </x:c>
      <x:c r="I324" t="str">
        <x:v>New</x:v>
      </x:c>
      <x:c r="J324" t="str">
        <x:v>Alex Kim</x:v>
      </x:c>
      <x:c r="K324" s="6" t="n">
        <x:v>46235</x:v>
      </x:c>
      <x:c r="L324" s="6" t="n">
        <x:v>46238</x:v>
      </x:c>
      <x:c r="M324" s="6" t="n">
        <x:v>46258</x:v>
      </x:c>
      <x:c r="N324" s="8" t="n">
        <x:v>27000</x:v>
      </x:c>
      <x:c r="O324" t="str">
        <x:v>Financial Services</x:v>
      </x:c>
      <x:c r="P324" t="str">
        <x:v>No</x:v>
      </x:c>
      <x:c r="Q324" t="str">
        <x:v>No</x:v>
      </x:c>
      <x:c r="R324" s="6"/>
      <x:c r="S324" t="str">
        <x:f>IF(E324="","Unique",IF(COUNTIF($E$2:E324,E324)&gt;1,"Duplicate","Unique"))</x:f>
        <x:v>Unique</x:v>
      </x:c>
      <x:c r="T324" t="str">
        <x:f>IF(J324="Unassigned","Yes","No")</x:f>
        <x:v>No</x:v>
      </x:c>
      <x:c r="U324" t="str">
        <x:f>IF(AND(E324="",F324=""),"Yes","No")</x:f>
        <x:v>No</x:v>
      </x:c>
      <x:c r="V324" t="str">
        <x:f>IF(AND('Dashboard'!$B$2-L324&gt;30,I324&lt;&gt;"Closed Won",I324&lt;&gt;"Closed Lost"),"Yes","No")</x:f>
        <x:v>No</x:v>
      </x:c>
      <x:c r="W324" t="str">
        <x:f>IF(AND(M324&lt;&gt;"",M324&lt;'Dashboard'!$B$2,I324&lt;&gt;"Closed Won",I324&lt;&gt;"Closed Lost"),"Yes","No")</x:f>
        <x:v>No</x:v>
      </x:c>
      <x:c r="X324" t="str">
        <x:f>IF(OR(S324="Duplicate",T324="Yes",U324="Yes",D324="Unknown",W324="Yes"),"Yes","No")</x:f>
        <x:v>Yes</x:v>
      </x:c>
      <x:c r="Y324" t="n">
        <x:f>IF(S324="Duplicate",0,1)</x:f>
        <x:v>1</x:v>
      </x:c>
    </x:row>
    <x:row r="325">
      <x:c r="A325" t="str">
        <x:v>L-0324</x:v>
      </x:c>
      <x:c r="B325" t="str">
        <x:v>Lucas</x:v>
      </x:c>
      <x:c r="C325" t="str">
        <x:v>Anderson</x:v>
      </x:c>
      <x:c r="D325" t="str">
        <x:v>Brightpath Health</x:v>
      </x:c>
      <x:c r="E325" t="str">
        <x:v>lucas.anderson439@prospect.co</x:v>
      </x:c>
      <x:c r="F325" t="str">
        <x:v>815-385-7967</x:v>
      </x:c>
      <x:c r="G325" t="str">
        <x:v>TX</x:v>
      </x:c>
      <x:c r="H325" t="str">
        <x:v>Referral</x:v>
      </x:c>
      <x:c r="I325" t="str">
        <x:v>Closed Lost</x:v>
      </x:c>
      <x:c r="J325" t="str">
        <x:v>Taylor Morgan</x:v>
      </x:c>
      <x:c r="K325" s="6" t="n">
        <x:v>46225</x:v>
      </x:c>
      <x:c r="L325" s="6" t="n">
        <x:v>46226</x:v>
      </x:c>
      <x:c r="M325" s="6"/>
      <x:c r="N325" s="8" t="n">
        <x:v>52400</x:v>
      </x:c>
      <x:c r="O325" t="str">
        <x:v>Biotech</x:v>
      </x:c>
      <x:c r="P325" t="str">
        <x:v>Yes</x:v>
      </x:c>
      <x:c r="Q325" t="str">
        <x:v>No</x:v>
      </x:c>
      <x:c r="R325" s="6" t="n">
        <x:v>46233</x:v>
      </x:c>
      <x:c r="S325" t="str">
        <x:f>IF(E325="","Unique",IF(COUNTIF($E$2:E325,E325)&gt;1,"Duplicate","Unique"))</x:f>
        <x:v>Unique</x:v>
      </x:c>
      <x:c r="T325" t="str">
        <x:f>IF(J325="Unassigned","Yes","No")</x:f>
        <x:v>No</x:v>
      </x:c>
      <x:c r="U325" t="str">
        <x:f>IF(AND(E325="",F325=""),"Yes","No")</x:f>
        <x:v>No</x:v>
      </x:c>
      <x:c r="V325" t="str">
        <x:f>IF(AND('Dashboard'!$B$2-L325&gt;30,I325&lt;&gt;"Closed Won",I325&lt;&gt;"Closed Lost"),"Yes","No")</x:f>
        <x:v>No</x:v>
      </x:c>
      <x:c r="W325" t="str">
        <x:f>IF(AND(M325&lt;&gt;"",M325&lt;'Dashboard'!$B$2,I325&lt;&gt;"Closed Won",I325&lt;&gt;"Closed Lost"),"Yes","No")</x:f>
        <x:v>No</x:v>
      </x:c>
      <x:c r="X325" t="str">
        <x:f>IF(OR(S325="Duplicate",T325="Yes",U325="Yes",D325="Unknown",W325="Yes"),"Yes","No")</x:f>
        <x:v>No</x:v>
      </x:c>
      <x:c r="Y325" t="n">
        <x:f>IF(S325="Duplicate",0,1)</x:f>
        <x:v>1</x:v>
      </x:c>
    </x:row>
    <x:row r="326">
      <x:c r="A326" t="str">
        <x:v>L-0325</x:v>
      </x:c>
      <x:c r="B326" t="str">
        <x:v>Emma</x:v>
      </x:c>
      <x:c r="C326" t="str">
        <x:v>Wilson</x:v>
      </x:c>
      <x:c r="D326" t="str">
        <x:v>Blue Ridge Supply</x:v>
      </x:c>
      <x:c r="E326" t="str">
        <x:v>emma.wilson983@prospect.co</x:v>
      </x:c>
      <x:c r="F326" t="str">
        <x:v>(349) 292-6292</x:v>
      </x:c>
      <x:c r="G326" t="str">
        <x:v>NC</x:v>
      </x:c>
      <x:c r="H326" t="str">
        <x:v>LinkedIn</x:v>
      </x:c>
      <x:c r="I326" t="str">
        <x:v>Closed Won</x:v>
      </x:c>
      <x:c r="J326" t="str">
        <x:v>Morgan Reed</x:v>
      </x:c>
      <x:c r="K326" s="6" t="n">
        <x:v>46124</x:v>
      </x:c>
      <x:c r="L326" s="6" t="n">
        <x:v>46141</x:v>
      </x:c>
      <x:c r="M326" s="6"/>
      <x:c r="N326" s="8" t="n">
        <x:v>11800</x:v>
      </x:c>
      <x:c r="O326" t="str">
        <x:v>Professional Services</x:v>
      </x:c>
      <x:c r="P326" t="str">
        <x:v>Yes</x:v>
      </x:c>
      <x:c r="Q326" t="str">
        <x:v>Yes</x:v>
      </x:c>
      <x:c r="R326" s="6" t="n">
        <x:v>46147</x:v>
      </x:c>
      <x:c r="S326" t="str">
        <x:f>IF(E326="","Unique",IF(COUNTIF($E$2:E326,E326)&gt;1,"Duplicate","Unique"))</x:f>
        <x:v>Unique</x:v>
      </x:c>
      <x:c r="T326" t="str">
        <x:f>IF(J326="Unassigned","Yes","No")</x:f>
        <x:v>No</x:v>
      </x:c>
      <x:c r="U326" t="str">
        <x:f>IF(AND(E326="",F326=""),"Yes","No")</x:f>
        <x:v>No</x:v>
      </x:c>
      <x:c r="V326" t="str">
        <x:f>IF(AND('Dashboard'!$B$2-L326&gt;30,I326&lt;&gt;"Closed Won",I326&lt;&gt;"Closed Lost"),"Yes","No")</x:f>
        <x:v>No</x:v>
      </x:c>
      <x:c r="W326" t="str">
        <x:f>IF(AND(M326&lt;&gt;"",M326&lt;'Dashboard'!$B$2,I326&lt;&gt;"Closed Won",I326&lt;&gt;"Closed Lost"),"Yes","No")</x:f>
        <x:v>No</x:v>
      </x:c>
      <x:c r="X326" t="str">
        <x:f>IF(OR(S326="Duplicate",T326="Yes",U326="Yes",D326="Unknown",W326="Yes"),"Yes","No")</x:f>
        <x:v>No</x:v>
      </x:c>
      <x:c r="Y326" t="n">
        <x:f>IF(S326="Duplicate",0,1)</x:f>
        <x:v>1</x:v>
      </x:c>
    </x:row>
    <x:row r="327">
      <x:c r="A327" t="str">
        <x:v>L-0326</x:v>
      </x:c>
      <x:c r="B327" t="str">
        <x:v>Elijah</x:v>
      </x:c>
      <x:c r="C327" t="str">
        <x:v>Lee</x:v>
      </x:c>
      <x:c r="D327" t="str">
        <x:v>Atlas Commerce</x:v>
      </x:c>
      <x:c r="E327" t="str">
        <x:v>elijah.lee3@examplebiz.com</x:v>
      </x:c>
      <x:c r="F327" t="str">
        <x:v>(218) 571-8764</x:v>
      </x:c>
      <x:c r="G327" t="str">
        <x:v>AZ</x:v>
      </x:c>
      <x:c r="H327" t="str">
        <x:v>Website</x:v>
      </x:c>
      <x:c r="I327" t="str">
        <x:v>Opportunity</x:v>
      </x:c>
      <x:c r="J327" t="str">
        <x:v>Casey Patel</x:v>
      </x:c>
      <x:c r="K327" s="6" t="n">
        <x:v>46112</x:v>
      </x:c>
      <x:c r="L327" s="6" t="n">
        <x:v>46168</x:v>
      </x:c>
      <x:c r="M327" s="6" t="n">
        <x:v>46193</x:v>
      </x:c>
      <x:c r="N327" s="8" t="n">
        <x:v>9700</x:v>
      </x:c>
      <x:c r="O327" t="str">
        <x:v>Retail</x:v>
      </x:c>
      <x:c r="P327" t="str">
        <x:v>Yes</x:v>
      </x:c>
      <x:c r="Q327" t="str">
        <x:v>No</x:v>
      </x:c>
      <x:c r="R327" s="6"/>
      <x:c r="S327" t="str">
        <x:f>IF(E327="","Unique",IF(COUNTIF($E$2:E327,E327)&gt;1,"Duplicate","Unique"))</x:f>
        <x:v>Unique</x:v>
      </x:c>
      <x:c r="T327" t="str">
        <x:f>IF(J327="Unassigned","Yes","No")</x:f>
        <x:v>No</x:v>
      </x:c>
      <x:c r="U327" t="str">
        <x:f>IF(AND(E327="",F327=""),"Yes","No")</x:f>
        <x:v>No</x:v>
      </x:c>
      <x:c r="V327" t="str">
        <x:f>IF(AND('Dashboard'!$B$2-L327&gt;30,I327&lt;&gt;"Closed Won",I327&lt;&gt;"Closed Lost"),"Yes","No")</x:f>
        <x:v>Yes</x:v>
      </x:c>
      <x:c r="W327" t="str">
        <x:f>IF(AND(M327&lt;&gt;"",M327&lt;'Dashboard'!$B$2,I327&lt;&gt;"Closed Won",I327&lt;&gt;"Closed Lost"),"Yes","No")</x:f>
        <x:v>Yes</x:v>
      </x:c>
      <x:c r="X327" t="str">
        <x:f>IF(OR(S327="Duplicate",T327="Yes",U327="Yes",D327="Unknown",W327="Yes"),"Yes","No")</x:f>
        <x:v>Yes</x:v>
      </x:c>
      <x:c r="Y327" t="n">
        <x:f>IF(S327="Duplicate",0,1)</x:f>
        <x:v>1</x:v>
      </x:c>
    </x:row>
    <x:row r="328">
      <x:c r="A328" t="str">
        <x:v>L-0327</x:v>
      </x:c>
      <x:c r="B328" t="str">
        <x:v>Mason</x:v>
      </x:c>
      <x:c r="C328" t="str">
        <x:v>Johnson</x:v>
      </x:c>
      <x:c r="D328" t="str">
        <x:v>Unknown</x:v>
      </x:c>
      <x:c r="E328" t="str">
        <x:v>mason.johnson109@northmail.com</x:v>
      </x:c>
      <x:c r="F328" t="str">
        <x:v>(689) 808-3591</x:v>
      </x:c>
      <x:c r="G328" t="str">
        <x:v>PA</x:v>
      </x:c>
      <x:c r="H328" t="str">
        <x:v>LinkedIn</x:v>
      </x:c>
      <x:c r="I328" t="str">
        <x:v>Contacted</x:v>
      </x:c>
      <x:c r="J328" t="str">
        <x:v>Jamie Brooks</x:v>
      </x:c>
      <x:c r="K328" s="6" t="n">
        <x:v>46240</x:v>
      </x:c>
      <x:c r="L328" s="6" t="n">
        <x:v>46251</x:v>
      </x:c>
      <x:c r="M328" s="6" t="n">
        <x:v>46267</x:v>
      </x:c>
      <x:c r="N328" s="8" t="n">
        <x:v>33200</x:v>
      </x:c>
      <x:c r="O328" t="str">
        <x:v>Technology</x:v>
      </x:c>
      <x:c r="P328" t="str">
        <x:v>No</x:v>
      </x:c>
      <x:c r="Q328" t="str">
        <x:v>No</x:v>
      </x:c>
      <x:c r="R328" s="6"/>
      <x:c r="S328" t="str">
        <x:f>IF(E328="","Unique",IF(COUNTIF($E$2:E328,E328)&gt;1,"Duplicate","Unique"))</x:f>
        <x:v>Unique</x:v>
      </x:c>
      <x:c r="T328" t="str">
        <x:f>IF(J328="Unassigned","Yes","No")</x:f>
        <x:v>No</x:v>
      </x:c>
      <x:c r="U328" t="str">
        <x:f>IF(AND(E328="",F328=""),"Yes","No")</x:f>
        <x:v>No</x:v>
      </x:c>
      <x:c r="V328" t="str">
        <x:f>IF(AND('Dashboard'!$B$2-L328&gt;30,I328&lt;&gt;"Closed Won",I328&lt;&gt;"Closed Lost"),"Yes","No")</x:f>
        <x:v>No</x:v>
      </x:c>
      <x:c r="W328" t="str">
        <x:f>IF(AND(M328&lt;&gt;"",M328&lt;'Dashboard'!$B$2,I328&lt;&gt;"Closed Won",I328&lt;&gt;"Closed Lost"),"Yes","No")</x:f>
        <x:v>No</x:v>
      </x:c>
      <x:c r="X328" t="str">
        <x:f>IF(OR(S328="Duplicate",T328="Yes",U328="Yes",D328="Unknown",W328="Yes"),"Yes","No")</x:f>
        <x:v>Yes</x:v>
      </x:c>
      <x:c r="Y328" t="n">
        <x:f>IF(S328="Duplicate",0,1)</x:f>
        <x:v>1</x:v>
      </x:c>
    </x:row>
    <x:row r="329">
      <x:c r="A329" t="str">
        <x:v>L-0328</x:v>
      </x:c>
      <x:c r="B329" t="str">
        <x:v>Isabella</x:v>
      </x:c>
      <x:c r="C329" t="str">
        <x:v>Moore</x:v>
      </x:c>
      <x:c r="D329" t="str">
        <x:v>Northstar Labs</x:v>
      </x:c>
      <x:c r="E329" t="str">
        <x:v>isabella.moore165@northmail.com</x:v>
      </x:c>
      <x:c r="F329" t="str">
        <x:v>(606) 633-8443</x:v>
      </x:c>
      <x:c r="G329" t="str">
        <x:v>TX</x:v>
      </x:c>
      <x:c r="H329" t="str">
        <x:v>Website</x:v>
      </x:c>
      <x:c r="I329" t="str">
        <x:v>Closed Won</x:v>
      </x:c>
      <x:c r="J329" t="str">
        <x:v>Alex Kim</x:v>
      </x:c>
      <x:c r="K329" s="6" t="n">
        <x:v>46238</x:v>
      </x:c>
      <x:c r="L329" s="6" t="n">
        <x:v>46247</x:v>
      </x:c>
      <x:c r="M329" s="6"/>
      <x:c r="N329" s="8" t="n">
        <x:v>64500</x:v>
      </x:c>
      <x:c r="O329" t="str">
        <x:v>Financial Services</x:v>
      </x:c>
      <x:c r="P329" t="str">
        <x:v>Yes</x:v>
      </x:c>
      <x:c r="Q329" t="str">
        <x:v>Yes</x:v>
      </x:c>
      <x:c r="R329" s="6" t="n">
        <x:v>46249</x:v>
      </x:c>
      <x:c r="S329" t="str">
        <x:f>IF(E329="","Unique",IF(COUNTIF($E$2:E329,E329)&gt;1,"Duplicate","Unique"))</x:f>
        <x:v>Unique</x:v>
      </x:c>
      <x:c r="T329" t="str">
        <x:f>IF(J329="Unassigned","Yes","No")</x:f>
        <x:v>No</x:v>
      </x:c>
      <x:c r="U329" t="str">
        <x:f>IF(AND(E329="",F329=""),"Yes","No")</x:f>
        <x:v>No</x:v>
      </x:c>
      <x:c r="V329" t="str">
        <x:f>IF(AND('Dashboard'!$B$2-L329&gt;30,I329&lt;&gt;"Closed Won",I329&lt;&gt;"Closed Lost"),"Yes","No")</x:f>
        <x:v>No</x:v>
      </x:c>
      <x:c r="W329" t="str">
        <x:f>IF(AND(M329&lt;&gt;"",M329&lt;'Dashboard'!$B$2,I329&lt;&gt;"Closed Won",I329&lt;&gt;"Closed Lost"),"Yes","No")</x:f>
        <x:v>No</x:v>
      </x:c>
      <x:c r="X329" t="str">
        <x:f>IF(OR(S329="Duplicate",T329="Yes",U329="Yes",D329="Unknown",W329="Yes"),"Yes","No")</x:f>
        <x:v>No</x:v>
      </x:c>
      <x:c r="Y329" t="n">
        <x:f>IF(S329="Duplicate",0,1)</x:f>
        <x:v>1</x:v>
      </x:c>
    </x:row>
    <x:row r="330">
      <x:c r="A330" t="str">
        <x:v>L-0329</x:v>
      </x:c>
      <x:c r="B330" t="str">
        <x:v>Ethan</x:v>
      </x:c>
      <x:c r="C330" t="str">
        <x:v>Lee</x:v>
      </x:c>
      <x:c r="D330" t="str">
        <x:v>Brightpath Health</x:v>
      </x:c>
      <x:c r="E330" t="str">
        <x:v>ethan.lee663@mailhub.net</x:v>
      </x:c>
      <x:c r="F330" t="str">
        <x:v>(400) 476-2776</x:v>
      </x:c>
      <x:c r="G330" t="str">
        <x:v>NC</x:v>
      </x:c>
      <x:c r="H330" t="str">
        <x:v>Referral</x:v>
      </x:c>
      <x:c r="I330" t="str">
        <x:v>Opportunity</x:v>
      </x:c>
      <x:c r="J330" t="str">
        <x:v>Casey Patel</x:v>
      </x:c>
      <x:c r="K330" s="6" t="n">
        <x:v>46035</x:v>
      </x:c>
      <x:c r="L330" s="6" t="n">
        <x:v>46132</x:v>
      </x:c>
      <x:c r="M330" s="6" t="n">
        <x:v>46140</x:v>
      </x:c>
      <x:c r="N330" s="8" t="n">
        <x:v>7000</x:v>
      </x:c>
      <x:c r="O330" t="str">
        <x:v>Logistics</x:v>
      </x:c>
      <x:c r="P330" t="str">
        <x:v>Yes</x:v>
      </x:c>
      <x:c r="Q330" t="str">
        <x:v>No</x:v>
      </x:c>
      <x:c r="R330" s="6"/>
      <x:c r="S330" t="str">
        <x:f>IF(E330="","Unique",IF(COUNTIF($E$2:E330,E330)&gt;1,"Duplicate","Unique"))</x:f>
        <x:v>Unique</x:v>
      </x:c>
      <x:c r="T330" t="str">
        <x:f>IF(J330="Unassigned","Yes","No")</x:f>
        <x:v>No</x:v>
      </x:c>
      <x:c r="U330" t="str">
        <x:f>IF(AND(E330="",F330=""),"Yes","No")</x:f>
        <x:v>No</x:v>
      </x:c>
      <x:c r="V330" t="str">
        <x:f>IF(AND('Dashboard'!$B$2-L330&gt;30,I330&lt;&gt;"Closed Won",I330&lt;&gt;"Closed Lost"),"Yes","No")</x:f>
        <x:v>Yes</x:v>
      </x:c>
      <x:c r="W330" t="str">
        <x:f>IF(AND(M330&lt;&gt;"",M330&lt;'Dashboard'!$B$2,I330&lt;&gt;"Closed Won",I330&lt;&gt;"Closed Lost"),"Yes","No")</x:f>
        <x:v>Yes</x:v>
      </x:c>
      <x:c r="X330" t="str">
        <x:f>IF(OR(S330="Duplicate",T330="Yes",U330="Yes",D330="Unknown",W330="Yes"),"Yes","No")</x:f>
        <x:v>Yes</x:v>
      </x:c>
      <x:c r="Y330" t="n">
        <x:f>IF(S330="Duplicate",0,1)</x:f>
        <x:v>1</x:v>
      </x:c>
    </x:row>
    <x:row r="331">
      <x:c r="A331" t="str">
        <x:v>L-0330</x:v>
      </x:c>
      <x:c r="B331" t="str">
        <x:v>Mason</x:v>
      </x:c>
      <x:c r="C331" t="str">
        <x:v>Rodriguez</x:v>
      </x:c>
      <x:c r="D331" t="str">
        <x:v>Brightpath Health</x:v>
      </x:c>
      <x:c r="E331" t="str">
        <x:v>mason.rodriguez366@prospect.co</x:v>
      </x:c>
      <x:c r="F331" t="str">
        <x:v>608-712-4192</x:v>
      </x:c>
      <x:c r="G331" t="str">
        <x:v>WA</x:v>
      </x:c>
      <x:c r="H331" t="str">
        <x:v>Outbound</x:v>
      </x:c>
      <x:c r="I331" t="str">
        <x:v>Qualified</x:v>
      </x:c>
      <x:c r="J331" t="str">
        <x:v>Jordan Lee</x:v>
      </x:c>
      <x:c r="K331" s="6" t="n">
        <x:v>46234</x:v>
      </x:c>
      <x:c r="L331" s="6" t="n">
        <x:v>46244</x:v>
      </x:c>
      <x:c r="M331" s="6" t="n">
        <x:v>46249</x:v>
      </x:c>
      <x:c r="N331" s="8" t="n">
        <x:v>80300</x:v>
      </x:c>
      <x:c r="O331" t="str">
        <x:v>Healthcare</x:v>
      </x:c>
      <x:c r="P331" t="str">
        <x:v>Yes</x:v>
      </x:c>
      <x:c r="Q331" t="str">
        <x:v>No</x:v>
      </x:c>
      <x:c r="R331" s="6"/>
      <x:c r="S331" t="str">
        <x:f>IF(E331="","Unique",IF(COUNTIF($E$2:E331,E331)&gt;1,"Duplicate","Unique"))</x:f>
        <x:v>Unique</x:v>
      </x:c>
      <x:c r="T331" t="str">
        <x:f>IF(J331="Unassigned","Yes","No")</x:f>
        <x:v>No</x:v>
      </x:c>
      <x:c r="U331" t="str">
        <x:f>IF(AND(E331="",F331=""),"Yes","No")</x:f>
        <x:v>No</x:v>
      </x:c>
      <x:c r="V331" t="str">
        <x:f>IF(AND('Dashboard'!$B$2-L331&gt;30,I331&lt;&gt;"Closed Won",I331&lt;&gt;"Closed Lost"),"Yes","No")</x:f>
        <x:v>No</x:v>
      </x:c>
      <x:c r="W331" t="str">
        <x:f>IF(AND(M331&lt;&gt;"",M331&lt;'Dashboard'!$B$2,I331&lt;&gt;"Closed Won",I331&lt;&gt;"Closed Lost"),"Yes","No")</x:f>
        <x:v>Yes</x:v>
      </x:c>
      <x:c r="X331" t="str">
        <x:f>IF(OR(S331="Duplicate",T331="Yes",U331="Yes",D331="Unknown",W331="Yes"),"Yes","No")</x:f>
        <x:v>Yes</x:v>
      </x:c>
      <x:c r="Y331" t="n">
        <x:f>IF(S331="Duplicate",0,1)</x:f>
        <x:v>1</x:v>
      </x:c>
    </x:row>
    <x:row r="332">
      <x:c r="A332" t="str">
        <x:v>L-0331</x:v>
      </x:c>
      <x:c r="B332" t="str">
        <x:v>Liam</x:v>
      </x:c>
      <x:c r="C332" t="str">
        <x:v>Martinez</x:v>
      </x:c>
      <x:c r="D332" t="str">
        <x:v>Cedarworks</x:v>
      </x:c>
      <x:c r="E332" t="str">
        <x:v>liam.martinez827@examplebiz.com</x:v>
      </x:c>
      <x:c r="F332" t="str">
        <x:v>(988) 935-3638</x:v>
      </x:c>
      <x:c r="G332" t="str">
        <x:v>OH</x:v>
      </x:c>
      <x:c r="H332" t="str">
        <x:v>Webinar</x:v>
      </x:c>
      <x:c r="I332" t="str">
        <x:v>Closed Won</x:v>
      </x:c>
      <x:c r="J332" t="str">
        <x:v>Taylor Morgan</x:v>
      </x:c>
      <x:c r="K332" s="6" t="n">
        <x:v>46223</x:v>
      </x:c>
      <x:c r="L332" s="6" t="n">
        <x:v>46245</x:v>
      </x:c>
      <x:c r="M332" s="6"/>
      <x:c r="N332" s="8" t="n">
        <x:v>21600</x:v>
      </x:c>
      <x:c r="O332" t="str">
        <x:v>Manufacturing</x:v>
      </x:c>
      <x:c r="P332" t="str">
        <x:v>Yes</x:v>
      </x:c>
      <x:c r="Q332" t="str">
        <x:v>Yes</x:v>
      </x:c>
      <x:c r="R332" s="6" t="n">
        <x:v>46251</x:v>
      </x:c>
      <x:c r="S332" t="str">
        <x:f>IF(E332="","Unique",IF(COUNTIF($E$2:E332,E332)&gt;1,"Duplicate","Unique"))</x:f>
        <x:v>Unique</x:v>
      </x:c>
      <x:c r="T332" t="str">
        <x:f>IF(J332="Unassigned","Yes","No")</x:f>
        <x:v>No</x:v>
      </x:c>
      <x:c r="U332" t="str">
        <x:f>IF(AND(E332="",F332=""),"Yes","No")</x:f>
        <x:v>No</x:v>
      </x:c>
      <x:c r="V332" t="str">
        <x:f>IF(AND('Dashboard'!$B$2-L332&gt;30,I332&lt;&gt;"Closed Won",I332&lt;&gt;"Closed Lost"),"Yes","No")</x:f>
        <x:v>No</x:v>
      </x:c>
      <x:c r="W332" t="str">
        <x:f>IF(AND(M332&lt;&gt;"",M332&lt;'Dashboard'!$B$2,I332&lt;&gt;"Closed Won",I332&lt;&gt;"Closed Lost"),"Yes","No")</x:f>
        <x:v>No</x:v>
      </x:c>
      <x:c r="X332" t="str">
        <x:f>IF(OR(S332="Duplicate",T332="Yes",U332="Yes",D332="Unknown",W332="Yes"),"Yes","No")</x:f>
        <x:v>No</x:v>
      </x:c>
      <x:c r="Y332" t="n">
        <x:f>IF(S332="Duplicate",0,1)</x:f>
        <x:v>1</x:v>
      </x:c>
    </x:row>
    <x:row r="333">
      <x:c r="A333" t="str">
        <x:v>L-0332</x:v>
      </x:c>
      <x:c r="B333" t="str">
        <x:v>Henry</x:v>
      </x:c>
      <x:c r="C333" t="str">
        <x:v>Thompson</x:v>
      </x:c>
      <x:c r="D333" t="str">
        <x:v>Brightpath Health</x:v>
      </x:c>
      <x:c r="E333" t="str">
        <x:v>henry.thompson561@northmail.com</x:v>
      </x:c>
      <x:c r="F333" t="str">
        <x:v>(711) 296-8451</x:v>
      </x:c>
      <x:c r="G333" t="str">
        <x:v>WA</x:v>
      </x:c>
      <x:c r="H333" t="str">
        <x:v>Trade Show</x:v>
      </x:c>
      <x:c r="I333" t="str">
        <x:v>Qualified</x:v>
      </x:c>
      <x:c r="J333" t="str">
        <x:v>Casey Patel</x:v>
      </x:c>
      <x:c r="K333" s="6" t="n">
        <x:v>46040</x:v>
      </x:c>
      <x:c r="L333" s="6" t="n">
        <x:v>46043</x:v>
      </x:c>
      <x:c r="M333" s="6" t="n">
        <x:v>46050</x:v>
      </x:c>
      <x:c r="N333" s="8" t="n">
        <x:v>65700</x:v>
      </x:c>
      <x:c r="O333" t="str">
        <x:v>Manufacturing</x:v>
      </x:c>
      <x:c r="P333" t="str">
        <x:v>Yes</x:v>
      </x:c>
      <x:c r="Q333" t="str">
        <x:v>No</x:v>
      </x:c>
      <x:c r="R333" s="6"/>
      <x:c r="S333" t="str">
        <x:f>IF(E333="","Unique",IF(COUNTIF($E$2:E333,E333)&gt;1,"Duplicate","Unique"))</x:f>
        <x:v>Unique</x:v>
      </x:c>
      <x:c r="T333" t="str">
        <x:f>IF(J333="Unassigned","Yes","No")</x:f>
        <x:v>No</x:v>
      </x:c>
      <x:c r="U333" t="str">
        <x:f>IF(AND(E333="",F333=""),"Yes","No")</x:f>
        <x:v>No</x:v>
      </x:c>
      <x:c r="V333" t="str">
        <x:f>IF(AND('Dashboard'!$B$2-L333&gt;30,I333&lt;&gt;"Closed Won",I333&lt;&gt;"Closed Lost"),"Yes","No")</x:f>
        <x:v>Yes</x:v>
      </x:c>
      <x:c r="W333" t="str">
        <x:f>IF(AND(M333&lt;&gt;"",M333&lt;'Dashboard'!$B$2,I333&lt;&gt;"Closed Won",I333&lt;&gt;"Closed Lost"),"Yes","No")</x:f>
        <x:v>Yes</x:v>
      </x:c>
      <x:c r="X333" t="str">
        <x:f>IF(OR(S333="Duplicate",T333="Yes",U333="Yes",D333="Unknown",W333="Yes"),"Yes","No")</x:f>
        <x:v>Yes</x:v>
      </x:c>
      <x:c r="Y333" t="n">
        <x:f>IF(S333="Duplicate",0,1)</x:f>
        <x:v>1</x:v>
      </x:c>
    </x:row>
    <x:row r="334">
      <x:c r="A334" t="str">
        <x:v>L-0333</x:v>
      </x:c>
      <x:c r="B334" t="str">
        <x:v>Luna</x:v>
      </x:c>
      <x:c r="C334" t="str">
        <x:v>Jackson</x:v>
      </x:c>
      <x:c r="D334" t="str">
        <x:v>Peakline Systems</x:v>
      </x:c>
      <x:c r="E334" t="str">
        <x:v>luna.jackson866@prospect.co</x:v>
      </x:c>
      <x:c r="F334" t="str">
        <x:v>(583) 285-7769</x:v>
      </x:c>
      <x:c r="G334" t="str">
        <x:v>NY</x:v>
      </x:c>
      <x:c r="H334" t="str">
        <x:v>Referral</x:v>
      </x:c>
      <x:c r="I334" t="str">
        <x:v>Closed Won</x:v>
      </x:c>
      <x:c r="J334" t="str">
        <x:v>Alex Kim</x:v>
      </x:c>
      <x:c r="K334" s="6" t="n">
        <x:v>46072</x:v>
      </x:c>
      <x:c r="L334" s="6" t="n">
        <x:v>46105</x:v>
      </x:c>
      <x:c r="M334" s="6"/>
      <x:c r="N334" s="8" t="n">
        <x:v>38900</x:v>
      </x:c>
      <x:c r="O334" t="str">
        <x:v>Biotech</x:v>
      </x:c>
      <x:c r="P334" t="str">
        <x:v>Yes</x:v>
      </x:c>
      <x:c r="Q334" t="str">
        <x:v>Yes</x:v>
      </x:c>
      <x:c r="R334" s="6" t="n">
        <x:v>46108</x:v>
      </x:c>
      <x:c r="S334" t="str">
        <x:f>IF(E334="","Unique",IF(COUNTIF($E$2:E334,E334)&gt;1,"Duplicate","Unique"))</x:f>
        <x:v>Unique</x:v>
      </x:c>
      <x:c r="T334" t="str">
        <x:f>IF(J334="Unassigned","Yes","No")</x:f>
        <x:v>No</x:v>
      </x:c>
      <x:c r="U334" t="str">
        <x:f>IF(AND(E334="",F334=""),"Yes","No")</x:f>
        <x:v>No</x:v>
      </x:c>
      <x:c r="V334" t="str">
        <x:f>IF(AND('Dashboard'!$B$2-L334&gt;30,I334&lt;&gt;"Closed Won",I334&lt;&gt;"Closed Lost"),"Yes","No")</x:f>
        <x:v>No</x:v>
      </x:c>
      <x:c r="W334" t="str">
        <x:f>IF(AND(M334&lt;&gt;"",M334&lt;'Dashboard'!$B$2,I334&lt;&gt;"Closed Won",I334&lt;&gt;"Closed Lost"),"Yes","No")</x:f>
        <x:v>No</x:v>
      </x:c>
      <x:c r="X334" t="str">
        <x:f>IF(OR(S334="Duplicate",T334="Yes",U334="Yes",D334="Unknown",W334="Yes"),"Yes","No")</x:f>
        <x:v>No</x:v>
      </x:c>
      <x:c r="Y334" t="n">
        <x:f>IF(S334="Duplicate",0,1)</x:f>
        <x:v>1</x:v>
      </x:c>
    </x:row>
    <x:row r="335">
      <x:c r="A335" t="str">
        <x:v>L-0334</x:v>
      </x:c>
      <x:c r="B335" t="str">
        <x:v>Harper</x:v>
      </x:c>
      <x:c r="C335" t="str">
        <x:v>Williams</x:v>
      </x:c>
      <x:c r="D335" t="str">
        <x:v>Pioneer Tech</x:v>
      </x:c>
      <x:c r="E335" t="str">
        <x:v>harper.williams111@mailhub.net</x:v>
      </x:c>
      <x:c r="F335" t="str">
        <x:v>(987) 643-4268</x:v>
      </x:c>
      <x:c r="G335" t="str">
        <x:v>NC</x:v>
      </x:c>
      <x:c r="H335" t="str">
        <x:v>LinkedIn</x:v>
      </x:c>
      <x:c r="I335" t="str">
        <x:v>Closed Lost</x:v>
      </x:c>
      <x:c r="J335" t="str">
        <x:v>Jamie Brooks</x:v>
      </x:c>
      <x:c r="K335" s="6" t="n">
        <x:v>46127</x:v>
      </x:c>
      <x:c r="L335" s="6" t="n">
        <x:v>46140</x:v>
      </x:c>
      <x:c r="M335" s="6"/>
      <x:c r="N335" s="8" t="n">
        <x:v>9600</x:v>
      </x:c>
      <x:c r="O335" t="str">
        <x:v>Logistics</x:v>
      </x:c>
      <x:c r="P335" t="str">
        <x:v>Yes</x:v>
      </x:c>
      <x:c r="Q335" t="str">
        <x:v>No</x:v>
      </x:c>
      <x:c r="R335" s="6" t="n">
        <x:v>46141</x:v>
      </x:c>
      <x:c r="S335" t="str">
        <x:f>IF(E335="","Unique",IF(COUNTIF($E$2:E335,E335)&gt;1,"Duplicate","Unique"))</x:f>
        <x:v>Unique</x:v>
      </x:c>
      <x:c r="T335" t="str">
        <x:f>IF(J335="Unassigned","Yes","No")</x:f>
        <x:v>No</x:v>
      </x:c>
      <x:c r="U335" t="str">
        <x:f>IF(AND(E335="",F335=""),"Yes","No")</x:f>
        <x:v>No</x:v>
      </x:c>
      <x:c r="V335" t="str">
        <x:f>IF(AND('Dashboard'!$B$2-L335&gt;30,I335&lt;&gt;"Closed Won",I335&lt;&gt;"Closed Lost"),"Yes","No")</x:f>
        <x:v>No</x:v>
      </x:c>
      <x:c r="W335" t="str">
        <x:f>IF(AND(M335&lt;&gt;"",M335&lt;'Dashboard'!$B$2,I335&lt;&gt;"Closed Won",I335&lt;&gt;"Closed Lost"),"Yes","No")</x:f>
        <x:v>No</x:v>
      </x:c>
      <x:c r="X335" t="str">
        <x:f>IF(OR(S335="Duplicate",T335="Yes",U335="Yes",D335="Unknown",W335="Yes"),"Yes","No")</x:f>
        <x:v>No</x:v>
      </x:c>
      <x:c r="Y335" t="n">
        <x:f>IF(S335="Duplicate",0,1)</x:f>
        <x:v>1</x:v>
      </x:c>
    </x:row>
    <x:row r="336">
      <x:c r="A336" t="str">
        <x:v>L-0335</x:v>
      </x:c>
      <x:c r="B336" t="str">
        <x:v>Amelia</x:v>
      </x:c>
      <x:c r="C336" t="str">
        <x:v>Johnson</x:v>
      </x:c>
      <x:c r="D336" t="str">
        <x:v>Pioneer Tech</x:v>
      </x:c>
      <x:c r="E336" t="str">
        <x:v>amelia.johnson181@northmail.com</x:v>
      </x:c>
      <x:c r="F336" t="str">
        <x:v>(346) 270-5487</x:v>
      </x:c>
      <x:c r="G336" t="str">
        <x:v>NC</x:v>
      </x:c>
      <x:c r="H336" t="str">
        <x:v>Website</x:v>
      </x:c>
      <x:c r="I336" t="str">
        <x:v>Contacted</x:v>
      </x:c>
      <x:c r="J336" t="str">
        <x:v>Jamie Brooks</x:v>
      </x:c>
      <x:c r="K336" s="6" t="n">
        <x:v>46241</x:v>
      </x:c>
      <x:c r="L336" s="6" t="n">
        <x:v>46251</x:v>
      </x:c>
      <x:c r="M336" s="6" t="n">
        <x:v>46267</x:v>
      </x:c>
      <x:c r="N336" s="8" t="n">
        <x:v>24800</x:v>
      </x:c>
      <x:c r="O336" t="str">
        <x:v>Professional Services</x:v>
      </x:c>
      <x:c r="P336" t="str">
        <x:v>No</x:v>
      </x:c>
      <x:c r="Q336" t="str">
        <x:v>No</x:v>
      </x:c>
      <x:c r="R336" s="6"/>
      <x:c r="S336" t="str">
        <x:f>IF(E336="","Unique",IF(COUNTIF($E$2:E336,E336)&gt;1,"Duplicate","Unique"))</x:f>
        <x:v>Unique</x:v>
      </x:c>
      <x:c r="T336" t="str">
        <x:f>IF(J336="Unassigned","Yes","No")</x:f>
        <x:v>No</x:v>
      </x:c>
      <x:c r="U336" t="str">
        <x:f>IF(AND(E336="",F336=""),"Yes","No")</x:f>
        <x:v>No</x:v>
      </x:c>
      <x:c r="V336" t="str">
        <x:f>IF(AND('Dashboard'!$B$2-L336&gt;30,I336&lt;&gt;"Closed Won",I336&lt;&gt;"Closed Lost"),"Yes","No")</x:f>
        <x:v>No</x:v>
      </x:c>
      <x:c r="W336" t="str">
        <x:f>IF(AND(M336&lt;&gt;"",M336&lt;'Dashboard'!$B$2,I336&lt;&gt;"Closed Won",I336&lt;&gt;"Closed Lost"),"Yes","No")</x:f>
        <x:v>No</x:v>
      </x:c>
      <x:c r="X336" t="str">
        <x:f>IF(OR(S336="Duplicate",T336="Yes",U336="Yes",D336="Unknown",W336="Yes"),"Yes","No")</x:f>
        <x:v>No</x:v>
      </x:c>
      <x:c r="Y336" t="n">
        <x:f>IF(S336="Duplicate",0,1)</x:f>
        <x:v>1</x:v>
      </x:c>
    </x:row>
    <x:row r="337">
      <x:c r="A337" t="str">
        <x:v>L-0336</x:v>
      </x:c>
      <x:c r="B337" t="str">
        <x:v>James</x:v>
      </x:c>
      <x:c r="C337" t="str">
        <x:v>Jackson</x:v>
      </x:c>
      <x:c r="D337" t="str">
        <x:v>Atlas Commerce</x:v>
      </x:c>
      <x:c r="E337" t="str">
        <x:v>james.jackson802@examplebiz.com</x:v>
      </x:c>
      <x:c r="F337" t="str">
        <x:v>(280) 940-3369</x:v>
      </x:c>
      <x:c r="G337" t="str">
        <x:v>PA</x:v>
      </x:c>
      <x:c r="H337" t="str">
        <x:v>Webinar</x:v>
      </x:c>
      <x:c r="I337" t="str">
        <x:v>Closed Lost</x:v>
      </x:c>
      <x:c r="J337" t="str">
        <x:v>Alex Kim</x:v>
      </x:c>
      <x:c r="K337" s="6" t="n">
        <x:v>46100</x:v>
      </x:c>
      <x:c r="L337" s="6" t="n">
        <x:v>46199</x:v>
      </x:c>
      <x:c r="M337" s="6"/>
      <x:c r="N337" s="8" t="n">
        <x:v>70400</x:v>
      </x:c>
      <x:c r="O337" t="str">
        <x:v>Manufacturing</x:v>
      </x:c>
      <x:c r="P337" t="str">
        <x:v>Yes</x:v>
      </x:c>
      <x:c r="Q337" t="str">
        <x:v>No</x:v>
      </x:c>
      <x:c r="R337" s="6" t="n">
        <x:v>46201</x:v>
      </x:c>
      <x:c r="S337" t="str">
        <x:f>IF(E337="","Unique",IF(COUNTIF($E$2:E337,E337)&gt;1,"Duplicate","Unique"))</x:f>
        <x:v>Unique</x:v>
      </x:c>
      <x:c r="T337" t="str">
        <x:f>IF(J337="Unassigned","Yes","No")</x:f>
        <x:v>No</x:v>
      </x:c>
      <x:c r="U337" t="str">
        <x:f>IF(AND(E337="",F337=""),"Yes","No")</x:f>
        <x:v>No</x:v>
      </x:c>
      <x:c r="V337" t="str">
        <x:f>IF(AND('Dashboard'!$B$2-L337&gt;30,I337&lt;&gt;"Closed Won",I337&lt;&gt;"Closed Lost"),"Yes","No")</x:f>
        <x:v>No</x:v>
      </x:c>
      <x:c r="W337" t="str">
        <x:f>IF(AND(M337&lt;&gt;"",M337&lt;'Dashboard'!$B$2,I337&lt;&gt;"Closed Won",I337&lt;&gt;"Closed Lost"),"Yes","No")</x:f>
        <x:v>No</x:v>
      </x:c>
      <x:c r="X337" t="str">
        <x:f>IF(OR(S337="Duplicate",T337="Yes",U337="Yes",D337="Unknown",W337="Yes"),"Yes","No")</x:f>
        <x:v>No</x:v>
      </x:c>
      <x:c r="Y337" t="n">
        <x:f>IF(S337="Duplicate",0,1)</x:f>
        <x:v>1</x:v>
      </x:c>
    </x:row>
    <x:row r="338">
      <x:c r="A338" t="str">
        <x:v>L-0337</x:v>
      </x:c>
      <x:c r="B338" t="str">
        <x:v>Ava</x:v>
      </x:c>
      <x:c r="C338" t="str">
        <x:v>Moore</x:v>
      </x:c>
      <x:c r="D338" t="str">
        <x:v>Blue Ridge Supply</x:v>
      </x:c>
      <x:c r="E338" t="str">
        <x:v>ava.moore793@examplebiz.com</x:v>
      </x:c>
      <x:c r="F338" t="str">
        <x:v>(816) 586-4541</x:v>
      </x:c>
      <x:c r="G338" t="str">
        <x:v>OH</x:v>
      </x:c>
      <x:c r="H338" t="str">
        <x:v>Outbound</x:v>
      </x:c>
      <x:c r="I338" t="str">
        <x:v>New</x:v>
      </x:c>
      <x:c r="J338" t="str">
        <x:v>Alex Kim</x:v>
      </x:c>
      <x:c r="K338" s="6" t="n">
        <x:v>46191</x:v>
      </x:c>
      <x:c r="L338" s="6" t="n">
        <x:v>46238</x:v>
      </x:c>
      <x:c r="M338" s="6" t="n">
        <x:v>46247</x:v>
      </x:c>
      <x:c r="N338" s="8" t="n">
        <x:v>37200</x:v>
      </x:c>
      <x:c r="O338" t="str">
        <x:v>Logistics</x:v>
      </x:c>
      <x:c r="P338" t="str">
        <x:v>No</x:v>
      </x:c>
      <x:c r="Q338" t="str">
        <x:v>No</x:v>
      </x:c>
      <x:c r="R338" s="6"/>
      <x:c r="S338" t="str">
        <x:f>IF(E338="","Unique",IF(COUNTIF($E$2:E338,E338)&gt;1,"Duplicate","Unique"))</x:f>
        <x:v>Unique</x:v>
      </x:c>
      <x:c r="T338" t="str">
        <x:f>IF(J338="Unassigned","Yes","No")</x:f>
        <x:v>No</x:v>
      </x:c>
      <x:c r="U338" t="str">
        <x:f>IF(AND(E338="",F338=""),"Yes","No")</x:f>
        <x:v>No</x:v>
      </x:c>
      <x:c r="V338" t="str">
        <x:f>IF(AND('Dashboard'!$B$2-L338&gt;30,I338&lt;&gt;"Closed Won",I338&lt;&gt;"Closed Lost"),"Yes","No")</x:f>
        <x:v>No</x:v>
      </x:c>
      <x:c r="W338" t="str">
        <x:f>IF(AND(M338&lt;&gt;"",M338&lt;'Dashboard'!$B$2,I338&lt;&gt;"Closed Won",I338&lt;&gt;"Closed Lost"),"Yes","No")</x:f>
        <x:v>Yes</x:v>
      </x:c>
      <x:c r="X338" t="str">
        <x:f>IF(OR(S338="Duplicate",T338="Yes",U338="Yes",D338="Unknown",W338="Yes"),"Yes","No")</x:f>
        <x:v>Yes</x:v>
      </x:c>
      <x:c r="Y338" t="n">
        <x:f>IF(S338="Duplicate",0,1)</x:f>
        <x:v>1</x:v>
      </x:c>
    </x:row>
    <x:row r="339">
      <x:c r="A339" t="str">
        <x:v>L-0338</x:v>
      </x:c>
      <x:c r="B339" t="str">
        <x:v>Logan</x:v>
      </x:c>
      <x:c r="C339" t="str">
        <x:v>Lee</x:v>
      </x:c>
      <x:c r="D339" t="str">
        <x:v>Vertex Solutions</x:v>
      </x:c>
      <x:c r="E339" t="str">
        <x:v>logan.lee447@mailhub.net</x:v>
      </x:c>
      <x:c r="F339" t="str">
        <x:v>(492) 875-8167</x:v>
      </x:c>
      <x:c r="G339" t="str">
        <x:v>TX</x:v>
      </x:c>
      <x:c r="H339" t="str">
        <x:v>Outbound</x:v>
      </x:c>
      <x:c r="I339" t="str">
        <x:v>Qualified</x:v>
      </x:c>
      <x:c r="J339" t="str">
        <x:v>Alex Kim</x:v>
      </x:c>
      <x:c r="K339" s="6" t="n">
        <x:v>46151</x:v>
      </x:c>
      <x:c r="L339" s="6" t="n">
        <x:v>46173</x:v>
      </x:c>
      <x:c r="M339" s="6" t="n">
        <x:v>46193</x:v>
      </x:c>
      <x:c r="N339" s="8" t="n">
        <x:v>51600</x:v>
      </x:c>
      <x:c r="O339" t="str">
        <x:v>Biotech</x:v>
      </x:c>
      <x:c r="P339" t="str">
        <x:v>Yes</x:v>
      </x:c>
      <x:c r="Q339" t="str">
        <x:v>No</x:v>
      </x:c>
      <x:c r="R339" s="6"/>
      <x:c r="S339" t="str">
        <x:f>IF(E339="","Unique",IF(COUNTIF($E$2:E339,E339)&gt;1,"Duplicate","Unique"))</x:f>
        <x:v>Unique</x:v>
      </x:c>
      <x:c r="T339" t="str">
        <x:f>IF(J339="Unassigned","Yes","No")</x:f>
        <x:v>No</x:v>
      </x:c>
      <x:c r="U339" t="str">
        <x:f>IF(AND(E339="",F339=""),"Yes","No")</x:f>
        <x:v>No</x:v>
      </x:c>
      <x:c r="V339" t="str">
        <x:f>IF(AND('Dashboard'!$B$2-L339&gt;30,I339&lt;&gt;"Closed Won",I339&lt;&gt;"Closed Lost"),"Yes","No")</x:f>
        <x:v>Yes</x:v>
      </x:c>
      <x:c r="W339" t="str">
        <x:f>IF(AND(M339&lt;&gt;"",M339&lt;'Dashboard'!$B$2,I339&lt;&gt;"Closed Won",I339&lt;&gt;"Closed Lost"),"Yes","No")</x:f>
        <x:v>Yes</x:v>
      </x:c>
      <x:c r="X339" t="str">
        <x:f>IF(OR(S339="Duplicate",T339="Yes",U339="Yes",D339="Unknown",W339="Yes"),"Yes","No")</x:f>
        <x:v>Yes</x:v>
      </x:c>
      <x:c r="Y339" t="n">
        <x:f>IF(S339="Duplicate",0,1)</x:f>
        <x:v>1</x:v>
      </x:c>
    </x:row>
    <x:row r="340">
      <x:c r="A340" t="str">
        <x:v>L-0339</x:v>
      </x:c>
      <x:c r="B340" t="str">
        <x:v>Liam</x:v>
      </x:c>
      <x:c r="C340" t="str">
        <x:v>Martinez</x:v>
      </x:c>
      <x:c r="D340" t="str">
        <x:v>Unknown</x:v>
      </x:c>
      <x:c r="E340" t="str">
        <x:v>liam.martinez991@mailhub.net</x:v>
      </x:c>
      <x:c r="F340" t="str">
        <x:v>(623) 860-7484</x:v>
      </x:c>
      <x:c r="G340" t="str">
        <x:v>FL</x:v>
      </x:c>
      <x:c r="H340" t="str">
        <x:v>Email Campaign</x:v>
      </x:c>
      <x:c r="I340" t="str">
        <x:v>Qualified</x:v>
      </x:c>
      <x:c r="J340" t="str">
        <x:v>Casey Patel</x:v>
      </x:c>
      <x:c r="K340" s="6" t="n">
        <x:v>46217</x:v>
      </x:c>
      <x:c r="L340" s="6" t="n">
        <x:v>46229</x:v>
      </x:c>
      <x:c r="M340" s="6" t="n">
        <x:v>46247</x:v>
      </x:c>
      <x:c r="N340" s="8" t="n">
        <x:v>80900</x:v>
      </x:c>
      <x:c r="O340" t="str">
        <x:v>Retail</x:v>
      </x:c>
      <x:c r="P340" t="str">
        <x:v>Yes</x:v>
      </x:c>
      <x:c r="Q340" t="str">
        <x:v>No</x:v>
      </x:c>
      <x:c r="R340" s="6"/>
      <x:c r="S340" t="str">
        <x:f>IF(E340="","Unique",IF(COUNTIF($E$2:E340,E340)&gt;1,"Duplicate","Unique"))</x:f>
        <x:v>Unique</x:v>
      </x:c>
      <x:c r="T340" t="str">
        <x:f>IF(J340="Unassigned","Yes","No")</x:f>
        <x:v>No</x:v>
      </x:c>
      <x:c r="U340" t="str">
        <x:f>IF(AND(E340="",F340=""),"Yes","No")</x:f>
        <x:v>No</x:v>
      </x:c>
      <x:c r="V340" t="str">
        <x:f>IF(AND('Dashboard'!$B$2-L340&gt;30,I340&lt;&gt;"Closed Won",I340&lt;&gt;"Closed Lost"),"Yes","No")</x:f>
        <x:v>No</x:v>
      </x:c>
      <x:c r="W340" t="str">
        <x:f>IF(AND(M340&lt;&gt;"",M340&lt;'Dashboard'!$B$2,I340&lt;&gt;"Closed Won",I340&lt;&gt;"Closed Lost"),"Yes","No")</x:f>
        <x:v>Yes</x:v>
      </x:c>
      <x:c r="X340" t="str">
        <x:f>IF(OR(S340="Duplicate",T340="Yes",U340="Yes",D340="Unknown",W340="Yes"),"Yes","No")</x:f>
        <x:v>Yes</x:v>
      </x:c>
      <x:c r="Y340" t="n">
        <x:f>IF(S340="Duplicate",0,1)</x:f>
        <x:v>1</x:v>
      </x:c>
    </x:row>
    <x:row r="341">
      <x:c r="A341" t="str">
        <x:v>L-0340</x:v>
      </x:c>
      <x:c r="B341" t="str">
        <x:v>Emma</x:v>
      </x:c>
      <x:c r="C341" t="str">
        <x:v>Anderson</x:v>
      </x:c>
      <x:c r="D341" t="str">
        <x:v>Redstone Consulting</x:v>
      </x:c>
      <x:c r="E341" t="str">
        <x:v>emma.anderson403@northmail.com</x:v>
      </x:c>
      <x:c r="F341" t="str">
        <x:v>(792) 639-3111</x:v>
      </x:c>
      <x:c r="G341" t="str">
        <x:v>CA</x:v>
      </x:c>
      <x:c r="H341" t="str">
        <x:v>Outbound</x:v>
      </x:c>
      <x:c r="I341" t="str">
        <x:v>Closed Lost</x:v>
      </x:c>
      <x:c r="J341" t="str">
        <x:v>Jamie Brooks</x:v>
      </x:c>
      <x:c r="K341" s="6" t="n">
        <x:v>46185</x:v>
      </x:c>
      <x:c r="L341" s="6" t="n">
        <x:v>46235</x:v>
      </x:c>
      <x:c r="M341" s="6"/>
      <x:c r="N341" s="8" t="n">
        <x:v>18400</x:v>
      </x:c>
      <x:c r="O341" t="str">
        <x:v>Biotech</x:v>
      </x:c>
      <x:c r="P341" t="str">
        <x:v>Yes</x:v>
      </x:c>
      <x:c r="Q341" t="str">
        <x:v>No</x:v>
      </x:c>
      <x:c r="R341" s="6" t="n">
        <x:v>46238</x:v>
      </x:c>
      <x:c r="S341" t="str">
        <x:f>IF(E341="","Unique",IF(COUNTIF($E$2:E341,E341)&gt;1,"Duplicate","Unique"))</x:f>
        <x:v>Unique</x:v>
      </x:c>
      <x:c r="T341" t="str">
        <x:f>IF(J341="Unassigned","Yes","No")</x:f>
        <x:v>No</x:v>
      </x:c>
      <x:c r="U341" t="str">
        <x:f>IF(AND(E341="",F341=""),"Yes","No")</x:f>
        <x:v>No</x:v>
      </x:c>
      <x:c r="V341" t="str">
        <x:f>IF(AND('Dashboard'!$B$2-L341&gt;30,I341&lt;&gt;"Closed Won",I341&lt;&gt;"Closed Lost"),"Yes","No")</x:f>
        <x:v>No</x:v>
      </x:c>
      <x:c r="W341" t="str">
        <x:f>IF(AND(M341&lt;&gt;"",M341&lt;'Dashboard'!$B$2,I341&lt;&gt;"Closed Won",I341&lt;&gt;"Closed Lost"),"Yes","No")</x:f>
        <x:v>No</x:v>
      </x:c>
      <x:c r="X341" t="str">
        <x:f>IF(OR(S341="Duplicate",T341="Yes",U341="Yes",D341="Unknown",W341="Yes"),"Yes","No")</x:f>
        <x:v>No</x:v>
      </x:c>
      <x:c r="Y341" t="n">
        <x:f>IF(S341="Duplicate",0,1)</x:f>
        <x:v>1</x:v>
      </x:c>
    </x:row>
    <x:row r="342">
      <x:c r="A342" t="str">
        <x:v>L-0341</x:v>
      </x:c>
      <x:c r="B342" t="str">
        <x:v>Olivia</x:v>
      </x:c>
      <x:c r="C342" t="str">
        <x:v>Williams</x:v>
      </x:c>
      <x:c r="D342" t="str">
        <x:v>Brightpath Health</x:v>
      </x:c>
      <x:c r="E342" t="str">
        <x:v>olivia.williams943@northmail.com</x:v>
      </x:c>
      <x:c r="F342" t="str">
        <x:v>(786) 591-1414</x:v>
      </x:c>
      <x:c r="G342" t="str">
        <x:v>AZ</x:v>
      </x:c>
      <x:c r="H342" t="str">
        <x:v>Website</x:v>
      </x:c>
      <x:c r="I342" t="str">
        <x:v>Closed Won</x:v>
      </x:c>
      <x:c r="J342" t="str">
        <x:v>Alex Kim</x:v>
      </x:c>
      <x:c r="K342" s="6" t="n">
        <x:v>46207</x:v>
      </x:c>
      <x:c r="L342" s="6" t="n">
        <x:v>46208</x:v>
      </x:c>
      <x:c r="M342" s="6"/>
      <x:c r="N342" s="8" t="n">
        <x:v>53500</x:v>
      </x:c>
      <x:c r="O342" t="str">
        <x:v>Healthcare</x:v>
      </x:c>
      <x:c r="P342" t="str">
        <x:v>Yes</x:v>
      </x:c>
      <x:c r="Q342" t="str">
        <x:v>Yes</x:v>
      </x:c>
      <x:c r="R342" s="6" t="n">
        <x:v>46211</x:v>
      </x:c>
      <x:c r="S342" t="str">
        <x:f>IF(E342="","Unique",IF(COUNTIF($E$2:E342,E342)&gt;1,"Duplicate","Unique"))</x:f>
        <x:v>Unique</x:v>
      </x:c>
      <x:c r="T342" t="str">
        <x:f>IF(J342="Unassigned","Yes","No")</x:f>
        <x:v>No</x:v>
      </x:c>
      <x:c r="U342" t="str">
        <x:f>IF(AND(E342="",F342=""),"Yes","No")</x:f>
        <x:v>No</x:v>
      </x:c>
      <x:c r="V342" t="str">
        <x:f>IF(AND('Dashboard'!$B$2-L342&gt;30,I342&lt;&gt;"Closed Won",I342&lt;&gt;"Closed Lost"),"Yes","No")</x:f>
        <x:v>No</x:v>
      </x:c>
      <x:c r="W342" t="str">
        <x:f>IF(AND(M342&lt;&gt;"",M342&lt;'Dashboard'!$B$2,I342&lt;&gt;"Closed Won",I342&lt;&gt;"Closed Lost"),"Yes","No")</x:f>
        <x:v>No</x:v>
      </x:c>
      <x:c r="X342" t="str">
        <x:f>IF(OR(S342="Duplicate",T342="Yes",U342="Yes",D342="Unknown",W342="Yes"),"Yes","No")</x:f>
        <x:v>No</x:v>
      </x:c>
      <x:c r="Y342" t="n">
        <x:f>IF(S342="Duplicate",0,1)</x:f>
        <x:v>1</x:v>
      </x:c>
    </x:row>
    <x:row r="343">
      <x:c r="A343" t="str">
        <x:v>L-0342</x:v>
      </x:c>
      <x:c r="B343" t="str">
        <x:v>Emma</x:v>
      </x:c>
      <x:c r="C343" t="str">
        <x:v>Smith</x:v>
      </x:c>
      <x:c r="D343" t="str">
        <x:v>Summit Analytics</x:v>
      </x:c>
      <x:c r="E343" t="str">
        <x:v>emma.smith80@mailhub.net</x:v>
      </x:c>
      <x:c r="F343" t="str">
        <x:v>(571) 412-7402</x:v>
      </x:c>
      <x:c r="G343" t="str">
        <x:v>NC</x:v>
      </x:c>
      <x:c r="H343" t="str">
        <x:v>Outbound</x:v>
      </x:c>
      <x:c r="I343" t="str">
        <x:v>New</x:v>
      </x:c>
      <x:c r="J343" t="str">
        <x:v>Jordan Lee</x:v>
      </x:c>
      <x:c r="K343" s="6" t="n">
        <x:v>46210</x:v>
      </x:c>
      <x:c r="L343" s="6" t="n">
        <x:v>46228</x:v>
      </x:c>
      <x:c r="M343" s="6" t="n">
        <x:v>46239</x:v>
      </x:c>
      <x:c r="N343" s="8" t="n">
        <x:v>76300</x:v>
      </x:c>
      <x:c r="O343" t="str">
        <x:v>Technology</x:v>
      </x:c>
      <x:c r="P343" t="str">
        <x:v>No</x:v>
      </x:c>
      <x:c r="Q343" t="str">
        <x:v>No</x:v>
      </x:c>
      <x:c r="R343" s="6"/>
      <x:c r="S343" t="str">
        <x:f>IF(E343="","Unique",IF(COUNTIF($E$2:E343,E343)&gt;1,"Duplicate","Unique"))</x:f>
        <x:v>Unique</x:v>
      </x:c>
      <x:c r="T343" t="str">
        <x:f>IF(J343="Unassigned","Yes","No")</x:f>
        <x:v>No</x:v>
      </x:c>
      <x:c r="U343" t="str">
        <x:f>IF(AND(E343="",F343=""),"Yes","No")</x:f>
        <x:v>No</x:v>
      </x:c>
      <x:c r="V343" t="str">
        <x:f>IF(AND('Dashboard'!$B$2-L343&gt;30,I343&lt;&gt;"Closed Won",I343&lt;&gt;"Closed Lost"),"Yes","No")</x:f>
        <x:v>No</x:v>
      </x:c>
      <x:c r="W343" t="str">
        <x:f>IF(AND(M343&lt;&gt;"",M343&lt;'Dashboard'!$B$2,I343&lt;&gt;"Closed Won",I343&lt;&gt;"Closed Lost"),"Yes","No")</x:f>
        <x:v>Yes</x:v>
      </x:c>
      <x:c r="X343" t="str">
        <x:f>IF(OR(S343="Duplicate",T343="Yes",U343="Yes",D343="Unknown",W343="Yes"),"Yes","No")</x:f>
        <x:v>Yes</x:v>
      </x:c>
      <x:c r="Y343" t="n">
        <x:f>IF(S343="Duplicate",0,1)</x:f>
        <x:v>1</x:v>
      </x:c>
    </x:row>
    <x:row r="344">
      <x:c r="A344" t="str">
        <x:v>L-0343</x:v>
      </x:c>
      <x:c r="B344" t="str">
        <x:v>Luna</x:v>
      </x:c>
      <x:c r="C344" t="str">
        <x:v>Thompson</x:v>
      </x:c>
      <x:c r="D344" t="str">
        <x:v>Peakline Systems</x:v>
      </x:c>
      <x:c r="E344" t="str">
        <x:v>luna.thompson760@prospect.co</x:v>
      </x:c>
      <x:c r="F344" t="str">
        <x:v>(325) 397-1484</x:v>
      </x:c>
      <x:c r="G344" t="str">
        <x:v>IL</x:v>
      </x:c>
      <x:c r="H344" t="str">
        <x:v>Outbound</x:v>
      </x:c>
      <x:c r="I344" t="str">
        <x:v>Qualified</x:v>
      </x:c>
      <x:c r="J344" t="str">
        <x:v>Alex Kim</x:v>
      </x:c>
      <x:c r="K344" s="6" t="n">
        <x:v>46089</x:v>
      </x:c>
      <x:c r="L344" s="6" t="n">
        <x:v>46242</x:v>
      </x:c>
      <x:c r="M344" s="6" t="n">
        <x:v>46262</x:v>
      </x:c>
      <x:c r="N344" s="8" t="n">
        <x:v>2900</x:v>
      </x:c>
      <x:c r="O344" t="str">
        <x:v>Technology</x:v>
      </x:c>
      <x:c r="P344" t="str">
        <x:v>Yes</x:v>
      </x:c>
      <x:c r="Q344" t="str">
        <x:v>No</x:v>
      </x:c>
      <x:c r="R344" s="6"/>
      <x:c r="S344" t="str">
        <x:f>IF(E344="","Unique",IF(COUNTIF($E$2:E344,E344)&gt;1,"Duplicate","Unique"))</x:f>
        <x:v>Unique</x:v>
      </x:c>
      <x:c r="T344" t="str">
        <x:f>IF(J344="Unassigned","Yes","No")</x:f>
        <x:v>No</x:v>
      </x:c>
      <x:c r="U344" t="str">
        <x:f>IF(AND(E344="",F344=""),"Yes","No")</x:f>
        <x:v>No</x:v>
      </x:c>
      <x:c r="V344" t="str">
        <x:f>IF(AND('Dashboard'!$B$2-L344&gt;30,I344&lt;&gt;"Closed Won",I344&lt;&gt;"Closed Lost"),"Yes","No")</x:f>
        <x:v>No</x:v>
      </x:c>
      <x:c r="W344" t="str">
        <x:f>IF(AND(M344&lt;&gt;"",M344&lt;'Dashboard'!$B$2,I344&lt;&gt;"Closed Won",I344&lt;&gt;"Closed Lost"),"Yes","No")</x:f>
        <x:v>No</x:v>
      </x:c>
      <x:c r="X344" t="str">
        <x:f>IF(OR(S344="Duplicate",T344="Yes",U344="Yes",D344="Unknown",W344="Yes"),"Yes","No")</x:f>
        <x:v>No</x:v>
      </x:c>
      <x:c r="Y344" t="n">
        <x:f>IF(S344="Duplicate",0,1)</x:f>
        <x:v>1</x:v>
      </x:c>
    </x:row>
    <x:row r="345">
      <x:c r="A345" t="str">
        <x:v>L-0344</x:v>
      </x:c>
      <x:c r="B345" t="str">
        <x:v>Mia</x:v>
      </x:c>
      <x:c r="C345" t="str">
        <x:v>Anderson</x:v>
      </x:c>
      <x:c r="D345" t="str">
        <x:v>Evergreen Services</x:v>
      </x:c>
      <x:c r="E345" t="str">
        <x:v>mia.anderson867@prospect.co</x:v>
      </x:c>
      <x:c r="F345" t="str">
        <x:v>(603) 305-6105</x:v>
      </x:c>
      <x:c r="G345" t="str">
        <x:v>PA</x:v>
      </x:c>
      <x:c r="H345" t="str">
        <x:v>Email Campaign</x:v>
      </x:c>
      <x:c r="I345" t="str">
        <x:v>Qualified</x:v>
      </x:c>
      <x:c r="J345" t="str">
        <x:v>Jamie Brooks</x:v>
      </x:c>
      <x:c r="K345" s="6" t="n">
        <x:v>46144</x:v>
      </x:c>
      <x:c r="L345" s="6" t="n">
        <x:v>46168</x:v>
      </x:c>
      <x:c r="M345" s="6" t="n">
        <x:v>46179</x:v>
      </x:c>
      <x:c r="N345" s="8" t="n">
        <x:v>16800</x:v>
      </x:c>
      <x:c r="O345" t="str">
        <x:v>Logistics</x:v>
      </x:c>
      <x:c r="P345" t="str">
        <x:v>Yes</x:v>
      </x:c>
      <x:c r="Q345" t="str">
        <x:v>No</x:v>
      </x:c>
      <x:c r="R345" s="6"/>
      <x:c r="S345" t="str">
        <x:f>IF(E345="","Unique",IF(COUNTIF($E$2:E345,E345)&gt;1,"Duplicate","Unique"))</x:f>
        <x:v>Unique</x:v>
      </x:c>
      <x:c r="T345" t="str">
        <x:f>IF(J345="Unassigned","Yes","No")</x:f>
        <x:v>No</x:v>
      </x:c>
      <x:c r="U345" t="str">
        <x:f>IF(AND(E345="",F345=""),"Yes","No")</x:f>
        <x:v>No</x:v>
      </x:c>
      <x:c r="V345" t="str">
        <x:f>IF(AND('Dashboard'!$B$2-L345&gt;30,I345&lt;&gt;"Closed Won",I345&lt;&gt;"Closed Lost"),"Yes","No")</x:f>
        <x:v>Yes</x:v>
      </x:c>
      <x:c r="W345" t="str">
        <x:f>IF(AND(M345&lt;&gt;"",M345&lt;'Dashboard'!$B$2,I345&lt;&gt;"Closed Won",I345&lt;&gt;"Closed Lost"),"Yes","No")</x:f>
        <x:v>Yes</x:v>
      </x:c>
      <x:c r="X345" t="str">
        <x:f>IF(OR(S345="Duplicate",T345="Yes",U345="Yes",D345="Unknown",W345="Yes"),"Yes","No")</x:f>
        <x:v>Yes</x:v>
      </x:c>
      <x:c r="Y345" t="n">
        <x:f>IF(S345="Duplicate",0,1)</x:f>
        <x:v>1</x:v>
      </x:c>
    </x:row>
    <x:row r="346">
      <x:c r="A346" t="str">
        <x:v>L-0345</x:v>
      </x:c>
      <x:c r="B346" t="str">
        <x:v>Mia</x:v>
      </x:c>
      <x:c r="C346" t="str">
        <x:v>Moore</x:v>
      </x:c>
      <x:c r="D346" t="str">
        <x:v>Cedarworks</x:v>
      </x:c>
      <x:c r="E346" t="str">
        <x:v>logan.garcia247@northmail.com</x:v>
      </x:c>
      <x:c r="F346" t="str">
        <x:v>(640) 390-6861</x:v>
      </x:c>
      <x:c r="G346" t="str">
        <x:v>GA</x:v>
      </x:c>
      <x:c r="H346" t="str">
        <x:v>Referral</x:v>
      </x:c>
      <x:c r="I346" t="str">
        <x:v>Contacted</x:v>
      </x:c>
      <x:c r="J346" t="str">
        <x:v>Jordan Lee</x:v>
      </x:c>
      <x:c r="K346" s="6" t="n">
        <x:v>46092</x:v>
      </x:c>
      <x:c r="L346" s="6" t="n">
        <x:v>46227</x:v>
      </x:c>
      <x:c r="M346" s="6" t="n">
        <x:v>46241</x:v>
      </x:c>
      <x:c r="N346" s="8" t="n">
        <x:v>35400</x:v>
      </x:c>
      <x:c r="O346" t="str">
        <x:v>Healthcare</x:v>
      </x:c>
      <x:c r="P346" t="str">
        <x:v>No</x:v>
      </x:c>
      <x:c r="Q346" t="str">
        <x:v>No</x:v>
      </x:c>
      <x:c r="R346" s="6"/>
      <x:c r="S346" t="str">
        <x:f>IF(E346="","Unique",IF(COUNTIF($E$2:E346,E346)&gt;1,"Duplicate","Unique"))</x:f>
        <x:v>Duplicate</x:v>
      </x:c>
      <x:c r="T346" t="str">
        <x:f>IF(J346="Unassigned","Yes","No")</x:f>
        <x:v>No</x:v>
      </x:c>
      <x:c r="U346" t="str">
        <x:f>IF(AND(E346="",F346=""),"Yes","No")</x:f>
        <x:v>No</x:v>
      </x:c>
      <x:c r="V346" t="str">
        <x:f>IF(AND('Dashboard'!$B$2-L346&gt;30,I346&lt;&gt;"Closed Won",I346&lt;&gt;"Closed Lost"),"Yes","No")</x:f>
        <x:v>No</x:v>
      </x:c>
      <x:c r="W346" t="str">
        <x:f>IF(AND(M346&lt;&gt;"",M346&lt;'Dashboard'!$B$2,I346&lt;&gt;"Closed Won",I346&lt;&gt;"Closed Lost"),"Yes","No")</x:f>
        <x:v>Yes</x:v>
      </x:c>
      <x:c r="X346" t="str">
        <x:f>IF(OR(S346="Duplicate",T346="Yes",U346="Yes",D346="Unknown",W346="Yes"),"Yes","No")</x:f>
        <x:v>Yes</x:v>
      </x:c>
      <x:c r="Y346" t="n">
        <x:f>IF(S346="Duplicate",0,1)</x:f>
        <x:v>0</x:v>
      </x:c>
    </x:row>
    <x:row r="347">
      <x:c r="A347" t="str">
        <x:v>L-0346</x:v>
      </x:c>
      <x:c r="B347" t="str">
        <x:v>Olivia</x:v>
      </x:c>
      <x:c r="C347" t="str">
        <x:v>Martin</x:v>
      </x:c>
      <x:c r="D347" t="str">
        <x:v>Apex Manufacturing</x:v>
      </x:c>
      <x:c r="E347" t="str">
        <x:v>olivia.martin432@mailhub.net</x:v>
      </x:c>
      <x:c r="F347" t="str">
        <x:v>(526) 527-4246</x:v>
      </x:c>
      <x:c r="G347" t="str">
        <x:v>GA</x:v>
      </x:c>
      <x:c r="H347" t="str">
        <x:v>Referral</x:v>
      </x:c>
      <x:c r="I347" t="str">
        <x:v>Opportunity</x:v>
      </x:c>
      <x:c r="J347" t="str">
        <x:v>Jamie Brooks</x:v>
      </x:c>
      <x:c r="K347" s="6" t="n">
        <x:v>46040</x:v>
      </x:c>
      <x:c r="L347" s="6" t="n">
        <x:v>46211</x:v>
      </x:c>
      <x:c r="M347" s="6" t="n">
        <x:v>46216</x:v>
      </x:c>
      <x:c r="N347" s="8" t="n">
        <x:v>49900</x:v>
      </x:c>
      <x:c r="O347" t="str">
        <x:v>Technology</x:v>
      </x:c>
      <x:c r="P347" t="str">
        <x:v>Yes</x:v>
      </x:c>
      <x:c r="Q347" t="str">
        <x:v>No</x:v>
      </x:c>
      <x:c r="R347" s="6"/>
      <x:c r="S347" t="str">
        <x:f>IF(E347="","Unique",IF(COUNTIF($E$2:E347,E347)&gt;1,"Duplicate","Unique"))</x:f>
        <x:v>Unique</x:v>
      </x:c>
      <x:c r="T347" t="str">
        <x:f>IF(J347="Unassigned","Yes","No")</x:f>
        <x:v>No</x:v>
      </x:c>
      <x:c r="U347" t="str">
        <x:f>IF(AND(E347="",F347=""),"Yes","No")</x:f>
        <x:v>No</x:v>
      </x:c>
      <x:c r="V347" t="str">
        <x:f>IF(AND('Dashboard'!$B$2-L347&gt;30,I347&lt;&gt;"Closed Won",I347&lt;&gt;"Closed Lost"),"Yes","No")</x:f>
        <x:v>Yes</x:v>
      </x:c>
      <x:c r="W347" t="str">
        <x:f>IF(AND(M347&lt;&gt;"",M347&lt;'Dashboard'!$B$2,I347&lt;&gt;"Closed Won",I347&lt;&gt;"Closed Lost"),"Yes","No")</x:f>
        <x:v>Yes</x:v>
      </x:c>
      <x:c r="X347" t="str">
        <x:f>IF(OR(S347="Duplicate",T347="Yes",U347="Yes",D347="Unknown",W347="Yes"),"Yes","No")</x:f>
        <x:v>Yes</x:v>
      </x:c>
      <x:c r="Y347" t="n">
        <x:f>IF(S347="Duplicate",0,1)</x:f>
        <x:v>1</x:v>
      </x:c>
    </x:row>
    <x:row r="348">
      <x:c r="A348" t="str">
        <x:v>L-0347</x:v>
      </x:c>
      <x:c r="B348" t="str">
        <x:v>Amelia</x:v>
      </x:c>
      <x:c r="C348" t="str">
        <x:v>Johnson</x:v>
      </x:c>
      <x:c r="D348" t="str">
        <x:v>Peakline Systems</x:v>
      </x:c>
      <x:c r="E348" t="str">
        <x:v>amelia.johnson325@prospect.co</x:v>
      </x:c>
      <x:c r="F348" t="str">
        <x:v>(610) 281-6131</x:v>
      </x:c>
      <x:c r="G348" t="str">
        <x:v>OH</x:v>
      </x:c>
      <x:c r="H348" t="str">
        <x:v>Website</x:v>
      </x:c>
      <x:c r="I348" t="str">
        <x:v>Qualified</x:v>
      </x:c>
      <x:c r="J348" t="str">
        <x:v>Unassigned</x:v>
      </x:c>
      <x:c r="K348" s="6" t="n">
        <x:v>46034</x:v>
      </x:c>
      <x:c r="L348" s="6" t="n">
        <x:v>46239</x:v>
      </x:c>
      <x:c r="M348" s="6" t="n">
        <x:v>46255</x:v>
      </x:c>
      <x:c r="N348" s="8" t="n">
        <x:v>62200</x:v>
      </x:c>
      <x:c r="O348" t="str">
        <x:v>Biotech</x:v>
      </x:c>
      <x:c r="P348" t="str">
        <x:v>Yes</x:v>
      </x:c>
      <x:c r="Q348" t="str">
        <x:v>No</x:v>
      </x:c>
      <x:c r="R348" s="6"/>
      <x:c r="S348" t="str">
        <x:f>IF(E348="","Unique",IF(COUNTIF($E$2:E348,E348)&gt;1,"Duplicate","Unique"))</x:f>
        <x:v>Unique</x:v>
      </x:c>
      <x:c r="T348" t="str">
        <x:f>IF(J348="Unassigned","Yes","No")</x:f>
        <x:v>Yes</x:v>
      </x:c>
      <x:c r="U348" t="str">
        <x:f>IF(AND(E348="",F348=""),"Yes","No")</x:f>
        <x:v>No</x:v>
      </x:c>
      <x:c r="V348" t="str">
        <x:f>IF(AND('Dashboard'!$B$2-L348&gt;30,I348&lt;&gt;"Closed Won",I348&lt;&gt;"Closed Lost"),"Yes","No")</x:f>
        <x:v>No</x:v>
      </x:c>
      <x:c r="W348" t="str">
        <x:f>IF(AND(M348&lt;&gt;"",M348&lt;'Dashboard'!$B$2,I348&lt;&gt;"Closed Won",I348&lt;&gt;"Closed Lost"),"Yes","No")</x:f>
        <x:v>No</x:v>
      </x:c>
      <x:c r="X348" t="str">
        <x:f>IF(OR(S348="Duplicate",T348="Yes",U348="Yes",D348="Unknown",W348="Yes"),"Yes","No")</x:f>
        <x:v>Yes</x:v>
      </x:c>
      <x:c r="Y348" t="n">
        <x:f>IF(S348="Duplicate",0,1)</x:f>
        <x:v>1</x:v>
      </x:c>
    </x:row>
    <x:row r="349">
      <x:c r="A349" t="str">
        <x:v>L-0348</x:v>
      </x:c>
      <x:c r="B349" t="str">
        <x:v>Noah</x:v>
      </x:c>
      <x:c r="C349" t="str">
        <x:v>Wilson</x:v>
      </x:c>
      <x:c r="D349" t="str">
        <x:v>Unknown</x:v>
      </x:c>
      <x:c r="E349" t="str">
        <x:v>noah.wilson889@northmail.com</x:v>
      </x:c>
      <x:c r="F349" t="str">
        <x:v>(466) 244-2815</x:v>
      </x:c>
      <x:c r="G349" t="str">
        <x:v>CA</x:v>
      </x:c>
      <x:c r="H349" t="str">
        <x:v>Website</x:v>
      </x:c>
      <x:c r="I349" t="str">
        <x:v>Opportunity</x:v>
      </x:c>
      <x:c r="J349" t="str">
        <x:v>Jamie Brooks</x:v>
      </x:c>
      <x:c r="K349" s="6" t="n">
        <x:v>46039</x:v>
      </x:c>
      <x:c r="L349" s="6" t="n">
        <x:v>46133</x:v>
      </x:c>
      <x:c r="M349" s="6" t="n">
        <x:v>46153</x:v>
      </x:c>
      <x:c r="N349" s="8" t="n">
        <x:v>84100</x:v>
      </x:c>
      <x:c r="O349" t="str">
        <x:v>Retail</x:v>
      </x:c>
      <x:c r="P349" t="str">
        <x:v>Yes</x:v>
      </x:c>
      <x:c r="Q349" t="str">
        <x:v>No</x:v>
      </x:c>
      <x:c r="R349" s="6"/>
      <x:c r="S349" t="str">
        <x:f>IF(E349="","Unique",IF(COUNTIF($E$2:E349,E349)&gt;1,"Duplicate","Unique"))</x:f>
        <x:v>Unique</x:v>
      </x:c>
      <x:c r="T349" t="str">
        <x:f>IF(J349="Unassigned","Yes","No")</x:f>
        <x:v>No</x:v>
      </x:c>
      <x:c r="U349" t="str">
        <x:f>IF(AND(E349="",F349=""),"Yes","No")</x:f>
        <x:v>No</x:v>
      </x:c>
      <x:c r="V349" t="str">
        <x:f>IF(AND('Dashboard'!$B$2-L349&gt;30,I349&lt;&gt;"Closed Won",I349&lt;&gt;"Closed Lost"),"Yes","No")</x:f>
        <x:v>Yes</x:v>
      </x:c>
      <x:c r="W349" t="str">
        <x:f>IF(AND(M349&lt;&gt;"",M349&lt;'Dashboard'!$B$2,I349&lt;&gt;"Closed Won",I349&lt;&gt;"Closed Lost"),"Yes","No")</x:f>
        <x:v>Yes</x:v>
      </x:c>
      <x:c r="X349" t="str">
        <x:f>IF(OR(S349="Duplicate",T349="Yes",U349="Yes",D349="Unknown",W349="Yes"),"Yes","No")</x:f>
        <x:v>Yes</x:v>
      </x:c>
      <x:c r="Y349" t="n">
        <x:f>IF(S349="Duplicate",0,1)</x:f>
        <x:v>1</x:v>
      </x:c>
    </x:row>
    <x:row r="350">
      <x:c r="A350" t="str">
        <x:v>L-0349</x:v>
      </x:c>
      <x:c r="B350" t="str">
        <x:v>James</x:v>
      </x:c>
      <x:c r="C350" t="str">
        <x:v>Moore</x:v>
      </x:c>
      <x:c r="D350" t="str">
        <x:v>Summit Analytics</x:v>
      </x:c>
      <x:c r="E350" t="str">
        <x:v>james.moore785@prospect.co</x:v>
      </x:c>
      <x:c r="F350" t="str">
        <x:v>(929) 284-6783</x:v>
      </x:c>
      <x:c r="G350" t="str">
        <x:v>WA</x:v>
      </x:c>
      <x:c r="H350" t="str">
        <x:v>Webinar</x:v>
      </x:c>
      <x:c r="I350" t="str">
        <x:v>Qualified</x:v>
      </x:c>
      <x:c r="J350" t="str">
        <x:v>Casey Patel</x:v>
      </x:c>
      <x:c r="K350" s="6" t="n">
        <x:v>46175</x:v>
      </x:c>
      <x:c r="L350" s="6" t="n">
        <x:v>46216</x:v>
      </x:c>
      <x:c r="M350" s="6" t="n">
        <x:v>46234</x:v>
      </x:c>
      <x:c r="N350" s="8" t="n">
        <x:v>21100</x:v>
      </x:c>
      <x:c r="O350" t="str">
        <x:v>Retail</x:v>
      </x:c>
      <x:c r="P350" t="str">
        <x:v>Yes</x:v>
      </x:c>
      <x:c r="Q350" t="str">
        <x:v>No</x:v>
      </x:c>
      <x:c r="R350" s="6"/>
      <x:c r="S350" t="str">
        <x:f>IF(E350="","Unique",IF(COUNTIF($E$2:E350,E350)&gt;1,"Duplicate","Unique"))</x:f>
        <x:v>Unique</x:v>
      </x:c>
      <x:c r="T350" t="str">
        <x:f>IF(J350="Unassigned","Yes","No")</x:f>
        <x:v>No</x:v>
      </x:c>
      <x:c r="U350" t="str">
        <x:f>IF(AND(E350="",F350=""),"Yes","No")</x:f>
        <x:v>No</x:v>
      </x:c>
      <x:c r="V350" t="str">
        <x:f>IF(AND('Dashboard'!$B$2-L350&gt;30,I350&lt;&gt;"Closed Won",I350&lt;&gt;"Closed Lost"),"Yes","No")</x:f>
        <x:v>Yes</x:v>
      </x:c>
      <x:c r="W350" t="str">
        <x:f>IF(AND(M350&lt;&gt;"",M350&lt;'Dashboard'!$B$2,I350&lt;&gt;"Closed Won",I350&lt;&gt;"Closed Lost"),"Yes","No")</x:f>
        <x:v>Yes</x:v>
      </x:c>
      <x:c r="X350" t="str">
        <x:f>IF(OR(S350="Duplicate",T350="Yes",U350="Yes",D350="Unknown",W350="Yes"),"Yes","No")</x:f>
        <x:v>Yes</x:v>
      </x:c>
      <x:c r="Y350" t="n">
        <x:f>IF(S350="Duplicate",0,1)</x:f>
        <x:v>1</x:v>
      </x:c>
    </x:row>
    <x:row r="351">
      <x:c r="A351" t="str">
        <x:v>L-0350</x:v>
      </x:c>
      <x:c r="B351" t="str">
        <x:v>Olivia</x:v>
      </x:c>
      <x:c r="C351" t="str">
        <x:v>Perez</x:v>
      </x:c>
      <x:c r="D351" t="str">
        <x:v>Redstone Consulting</x:v>
      </x:c>
      <x:c r="E351" t="str">
        <x:v>olivia.perez395@mailhub.net</x:v>
      </x:c>
      <x:c r="F351" t="str">
        <x:v>(836) 725-4326</x:v>
      </x:c>
      <x:c r="G351" t="str">
        <x:v>PA</x:v>
      </x:c>
      <x:c r="H351" t="str">
        <x:v>Webinar</x:v>
      </x:c>
      <x:c r="I351" t="str">
        <x:v>New</x:v>
      </x:c>
      <x:c r="J351" t="str">
        <x:v>Casey Patel</x:v>
      </x:c>
      <x:c r="K351" s="6" t="n">
        <x:v>46117</x:v>
      </x:c>
      <x:c r="L351" s="6" t="n">
        <x:v>46144</x:v>
      </x:c>
      <x:c r="M351" s="6" t="n">
        <x:v>46151</x:v>
      </x:c>
      <x:c r="N351" s="8" t="n">
        <x:v>20500</x:v>
      </x:c>
      <x:c r="O351" t="str">
        <x:v>Financial Services</x:v>
      </x:c>
      <x:c r="P351" t="str">
        <x:v>No</x:v>
      </x:c>
      <x:c r="Q351" t="str">
        <x:v>No</x:v>
      </x:c>
      <x:c r="R351" s="6"/>
      <x:c r="S351" t="str">
        <x:f>IF(E351="","Unique",IF(COUNTIF($E$2:E351,E351)&gt;1,"Duplicate","Unique"))</x:f>
        <x:v>Unique</x:v>
      </x:c>
      <x:c r="T351" t="str">
        <x:f>IF(J351="Unassigned","Yes","No")</x:f>
        <x:v>No</x:v>
      </x:c>
      <x:c r="U351" t="str">
        <x:f>IF(AND(E351="",F351=""),"Yes","No")</x:f>
        <x:v>No</x:v>
      </x:c>
      <x:c r="V351" t="str">
        <x:f>IF(AND('Dashboard'!$B$2-L351&gt;30,I351&lt;&gt;"Closed Won",I351&lt;&gt;"Closed Lost"),"Yes","No")</x:f>
        <x:v>Yes</x:v>
      </x:c>
      <x:c r="W351" t="str">
        <x:f>IF(AND(M351&lt;&gt;"",M351&lt;'Dashboard'!$B$2,I351&lt;&gt;"Closed Won",I351&lt;&gt;"Closed Lost"),"Yes","No")</x:f>
        <x:v>Yes</x:v>
      </x:c>
      <x:c r="X351" t="str">
        <x:f>IF(OR(S351="Duplicate",T351="Yes",U351="Yes",D351="Unknown",W351="Yes"),"Yes","No")</x:f>
        <x:v>Yes</x:v>
      </x:c>
      <x:c r="Y351" t="n">
        <x:f>IF(S351="Duplicate",0,1)</x:f>
        <x:v>1</x:v>
      </x:c>
    </x:row>
    <x:row r="352">
      <x:c r="A352" t="str">
        <x:v>L-0351</x:v>
      </x:c>
      <x:c r="B352" t="str">
        <x:v>Benjamin</x:v>
      </x:c>
      <x:c r="C352" t="str">
        <x:v>Martin</x:v>
      </x:c>
      <x:c r="D352" t="str">
        <x:v>Prairie Health</x:v>
      </x:c>
      <x:c r="E352" t="str">
        <x:v>benjamin.martin442@prospect.co</x:v>
      </x:c>
      <x:c r="F352" t="str">
        <x:v>(255) 651-5466</x:v>
      </x:c>
      <x:c r="G352" t="str">
        <x:v>NY</x:v>
      </x:c>
      <x:c r="H352" t="str">
        <x:v>Website</x:v>
      </x:c>
      <x:c r="I352" t="str">
        <x:v>Qualified</x:v>
      </x:c>
      <x:c r="J352" t="str">
        <x:v>Unassigned</x:v>
      </x:c>
      <x:c r="K352" s="6" t="n">
        <x:v>46156</x:v>
      </x:c>
      <x:c r="L352" s="6" t="n">
        <x:v>46211</x:v>
      </x:c>
      <x:c r="M352" s="6" t="n">
        <x:v>46220</x:v>
      </x:c>
      <x:c r="N352" s="8" t="n">
        <x:v>14900</x:v>
      </x:c>
      <x:c r="O352" t="str">
        <x:v>Biotech</x:v>
      </x:c>
      <x:c r="P352" t="str">
        <x:v>Yes</x:v>
      </x:c>
      <x:c r="Q352" t="str">
        <x:v>No</x:v>
      </x:c>
      <x:c r="R352" s="6"/>
      <x:c r="S352" t="str">
        <x:f>IF(E352="","Unique",IF(COUNTIF($E$2:E352,E352)&gt;1,"Duplicate","Unique"))</x:f>
        <x:v>Unique</x:v>
      </x:c>
      <x:c r="T352" t="str">
        <x:f>IF(J352="Unassigned","Yes","No")</x:f>
        <x:v>Yes</x:v>
      </x:c>
      <x:c r="U352" t="str">
        <x:f>IF(AND(E352="",F352=""),"Yes","No")</x:f>
        <x:v>No</x:v>
      </x:c>
      <x:c r="V352" t="str">
        <x:f>IF(AND('Dashboard'!$B$2-L352&gt;30,I352&lt;&gt;"Closed Won",I352&lt;&gt;"Closed Lost"),"Yes","No")</x:f>
        <x:v>Yes</x:v>
      </x:c>
      <x:c r="W352" t="str">
        <x:f>IF(AND(M352&lt;&gt;"",M352&lt;'Dashboard'!$B$2,I352&lt;&gt;"Closed Won",I352&lt;&gt;"Closed Lost"),"Yes","No")</x:f>
        <x:v>Yes</x:v>
      </x:c>
      <x:c r="X352" t="str">
        <x:f>IF(OR(S352="Duplicate",T352="Yes",U352="Yes",D352="Unknown",W352="Yes"),"Yes","No")</x:f>
        <x:v>Yes</x:v>
      </x:c>
      <x:c r="Y352" t="n">
        <x:f>IF(S352="Duplicate",0,1)</x:f>
        <x:v>1</x:v>
      </x:c>
    </x:row>
    <x:row r="353">
      <x:c r="A353" t="str">
        <x:v>L-0352</x:v>
      </x:c>
      <x:c r="B353" t="str">
        <x:v>Noah</x:v>
      </x:c>
      <x:c r="C353" t="str">
        <x:v>Davis</x:v>
      </x:c>
      <x:c r="D353" t="str">
        <x:v>Summit Analytics</x:v>
      </x:c>
      <x:c r="E353" t="str">
        <x:v>noah.davis717@mailhub.net</x:v>
      </x:c>
      <x:c r="F353" t="str">
        <x:v>(602) 602-2659</x:v>
      </x:c>
      <x:c r="G353" t="str">
        <x:v>CO</x:v>
      </x:c>
      <x:c r="H353" t="str">
        <x:v>Trade Show</x:v>
      </x:c>
      <x:c r="I353" t="str">
        <x:v>Contacted</x:v>
      </x:c>
      <x:c r="J353" t="str">
        <x:v>Alex Kim</x:v>
      </x:c>
      <x:c r="K353" s="6" t="n">
        <x:v>46110</x:v>
      </x:c>
      <x:c r="L353" s="6" t="n">
        <x:v>46135</x:v>
      </x:c>
      <x:c r="M353" s="6" t="n">
        <x:v>46146</x:v>
      </x:c>
      <x:c r="N353" s="8" t="n">
        <x:v>21200</x:v>
      </x:c>
      <x:c r="O353" t="str">
        <x:v>Healthcare</x:v>
      </x:c>
      <x:c r="P353" t="str">
        <x:v>No</x:v>
      </x:c>
      <x:c r="Q353" t="str">
        <x:v>No</x:v>
      </x:c>
      <x:c r="R353" s="6"/>
      <x:c r="S353" t="str">
        <x:f>IF(E353="","Unique",IF(COUNTIF($E$2:E353,E353)&gt;1,"Duplicate","Unique"))</x:f>
        <x:v>Unique</x:v>
      </x:c>
      <x:c r="T353" t="str">
        <x:f>IF(J353="Unassigned","Yes","No")</x:f>
        <x:v>No</x:v>
      </x:c>
      <x:c r="U353" t="str">
        <x:f>IF(AND(E353="",F353=""),"Yes","No")</x:f>
        <x:v>No</x:v>
      </x:c>
      <x:c r="V353" t="str">
        <x:f>IF(AND('Dashboard'!$B$2-L353&gt;30,I353&lt;&gt;"Closed Won",I353&lt;&gt;"Closed Lost"),"Yes","No")</x:f>
        <x:v>Yes</x:v>
      </x:c>
      <x:c r="W353" t="str">
        <x:f>IF(AND(M353&lt;&gt;"",M353&lt;'Dashboard'!$B$2,I353&lt;&gt;"Closed Won",I353&lt;&gt;"Closed Lost"),"Yes","No")</x:f>
        <x:v>Yes</x:v>
      </x:c>
      <x:c r="X353" t="str">
        <x:f>IF(OR(S353="Duplicate",T353="Yes",U353="Yes",D353="Unknown",W353="Yes"),"Yes","No")</x:f>
        <x:v>Yes</x:v>
      </x:c>
      <x:c r="Y353" t="n">
        <x:f>IF(S353="Duplicate",0,1)</x:f>
        <x:v>1</x:v>
      </x:c>
    </x:row>
    <x:row r="354">
      <x:c r="A354" t="str">
        <x:v>L-0353</x:v>
      </x:c>
      <x:c r="B354" t="str">
        <x:v>Mason</x:v>
      </x:c>
      <x:c r="C354" t="str">
        <x:v>Garcia</x:v>
      </x:c>
      <x:c r="D354" t="str">
        <x:v>Redstone Consulting</x:v>
      </x:c>
      <x:c r="E354" t="str">
        <x:v>elijah.lee544@mailhub.net</x:v>
      </x:c>
      <x:c r="F354" t="str">
        <x:v>(382) 470-2261</x:v>
      </x:c>
      <x:c r="G354" t="str">
        <x:v>CA</x:v>
      </x:c>
      <x:c r="H354" t="str">
        <x:v>Website</x:v>
      </x:c>
      <x:c r="I354" t="str">
        <x:v>Closed Lost</x:v>
      </x:c>
      <x:c r="J354" t="str">
        <x:v>Morgan Reed</x:v>
      </x:c>
      <x:c r="K354" s="6" t="n">
        <x:v>46210</x:v>
      </x:c>
      <x:c r="L354" s="6" t="n">
        <x:v>46210</x:v>
      </x:c>
      <x:c r="M354" s="6"/>
      <x:c r="N354" s="8" t="n">
        <x:v>57400</x:v>
      </x:c>
      <x:c r="O354" t="str">
        <x:v>Technology</x:v>
      </x:c>
      <x:c r="P354" t="str">
        <x:v>Yes</x:v>
      </x:c>
      <x:c r="Q354" t="str">
        <x:v>No</x:v>
      </x:c>
      <x:c r="R354" s="6" t="n">
        <x:v>46217</x:v>
      </x:c>
      <x:c r="S354" t="str">
        <x:f>IF(E354="","Unique",IF(COUNTIF($E$2:E354,E354)&gt;1,"Duplicate","Unique"))</x:f>
        <x:v>Duplicate</x:v>
      </x:c>
      <x:c r="T354" t="str">
        <x:f>IF(J354="Unassigned","Yes","No")</x:f>
        <x:v>No</x:v>
      </x:c>
      <x:c r="U354" t="str">
        <x:f>IF(AND(E354="",F354=""),"Yes","No")</x:f>
        <x:v>No</x:v>
      </x:c>
      <x:c r="V354" t="str">
        <x:f>IF(AND('Dashboard'!$B$2-L354&gt;30,I354&lt;&gt;"Closed Won",I354&lt;&gt;"Closed Lost"),"Yes","No")</x:f>
        <x:v>No</x:v>
      </x:c>
      <x:c r="W354" t="str">
        <x:f>IF(AND(M354&lt;&gt;"",M354&lt;'Dashboard'!$B$2,I354&lt;&gt;"Closed Won",I354&lt;&gt;"Closed Lost"),"Yes","No")</x:f>
        <x:v>No</x:v>
      </x:c>
      <x:c r="X354" t="str">
        <x:f>IF(OR(S354="Duplicate",T354="Yes",U354="Yes",D354="Unknown",W354="Yes"),"Yes","No")</x:f>
        <x:v>Yes</x:v>
      </x:c>
      <x:c r="Y354" t="n">
        <x:f>IF(S354="Duplicate",0,1)</x:f>
        <x:v>0</x:v>
      </x:c>
    </x:row>
    <x:row r="355">
      <x:c r="A355" t="str">
        <x:v>L-0354</x:v>
      </x:c>
      <x:c r="B355" t="str">
        <x:v>Noah</x:v>
      </x:c>
      <x:c r="C355" t="str">
        <x:v>Martinez</x:v>
      </x:c>
      <x:c r="D355" t="str">
        <x:v>Redstone Consulting</x:v>
      </x:c>
      <x:c r="E355" t="str">
        <x:v>noah.martinez14@prospect.co</x:v>
      </x:c>
      <x:c r="F355" t="str">
        <x:v>(509) 927-6467</x:v>
      </x:c>
      <x:c r="G355" t="str">
        <x:v>NC</x:v>
      </x:c>
      <x:c r="H355" t="str">
        <x:v>LinkedIn</x:v>
      </x:c>
      <x:c r="I355" t="str">
        <x:v>Closed Lost</x:v>
      </x:c>
      <x:c r="J355" t="str">
        <x:v>Morgan Reed</x:v>
      </x:c>
      <x:c r="K355" s="6" t="n">
        <x:v>46181</x:v>
      </x:c>
      <x:c r="L355" s="6" t="n">
        <x:v>46243</x:v>
      </x:c>
      <x:c r="M355" s="6"/>
      <x:c r="N355" s="8" t="n">
        <x:v>23400</x:v>
      </x:c>
      <x:c r="O355" t="str">
        <x:v>Logistics</x:v>
      </x:c>
      <x:c r="P355" t="str">
        <x:v>Yes</x:v>
      </x:c>
      <x:c r="Q355" t="str">
        <x:v>No</x:v>
      </x:c>
      <x:c r="R355" s="6" t="n">
        <x:v>46251</x:v>
      </x:c>
      <x:c r="S355" t="str">
        <x:f>IF(E355="","Unique",IF(COUNTIF($E$2:E355,E355)&gt;1,"Duplicate","Unique"))</x:f>
        <x:v>Unique</x:v>
      </x:c>
      <x:c r="T355" t="str">
        <x:f>IF(J355="Unassigned","Yes","No")</x:f>
        <x:v>No</x:v>
      </x:c>
      <x:c r="U355" t="str">
        <x:f>IF(AND(E355="",F355=""),"Yes","No")</x:f>
        <x:v>No</x:v>
      </x:c>
      <x:c r="V355" t="str">
        <x:f>IF(AND('Dashboard'!$B$2-L355&gt;30,I355&lt;&gt;"Closed Won",I355&lt;&gt;"Closed Lost"),"Yes","No")</x:f>
        <x:v>No</x:v>
      </x:c>
      <x:c r="W355" t="str">
        <x:f>IF(AND(M355&lt;&gt;"",M355&lt;'Dashboard'!$B$2,I355&lt;&gt;"Closed Won",I355&lt;&gt;"Closed Lost"),"Yes","No")</x:f>
        <x:v>No</x:v>
      </x:c>
      <x:c r="X355" t="str">
        <x:f>IF(OR(S355="Duplicate",T355="Yes",U355="Yes",D355="Unknown",W355="Yes"),"Yes","No")</x:f>
        <x:v>No</x:v>
      </x:c>
      <x:c r="Y355" t="n">
        <x:f>IF(S355="Duplicate",0,1)</x:f>
        <x:v>1</x:v>
      </x:c>
    </x:row>
    <x:row r="356">
      <x:c r="A356" t="str">
        <x:v>L-0355</x:v>
      </x:c>
      <x:c r="B356" t="str">
        <x:v>Mason</x:v>
      </x:c>
      <x:c r="C356" t="str">
        <x:v>Perez</x:v>
      </x:c>
      <x:c r="D356" t="str">
        <x:v>Vertex Solutions</x:v>
      </x:c>
      <x:c r="E356" t="str">
        <x:v>mason.perez696@mailhub.net</x:v>
      </x:c>
      <x:c r="F356" t="str">
        <x:v>(740) 379-5346</x:v>
      </x:c>
      <x:c r="G356" t="str">
        <x:v>FL</x:v>
      </x:c>
      <x:c r="H356" t="str">
        <x:v>LinkedIn</x:v>
      </x:c>
      <x:c r="I356" t="str">
        <x:v>New</x:v>
      </x:c>
      <x:c r="J356" t="str">
        <x:v>Jamie Brooks</x:v>
      </x:c>
      <x:c r="K356" s="6" t="n">
        <x:v>46150</x:v>
      </x:c>
      <x:c r="L356" s="6" t="n">
        <x:v>46231</x:v>
      </x:c>
      <x:c r="M356" s="6" t="n">
        <x:v>46237</x:v>
      </x:c>
      <x:c r="N356" s="8" t="n">
        <x:v>82100</x:v>
      </x:c>
      <x:c r="O356" t="str">
        <x:v>Biotech</x:v>
      </x:c>
      <x:c r="P356" t="str">
        <x:v>No</x:v>
      </x:c>
      <x:c r="Q356" t="str">
        <x:v>No</x:v>
      </x:c>
      <x:c r="R356" s="6"/>
      <x:c r="S356" t="str">
        <x:f>IF(E356="","Unique",IF(COUNTIF($E$2:E356,E356)&gt;1,"Duplicate","Unique"))</x:f>
        <x:v>Unique</x:v>
      </x:c>
      <x:c r="T356" t="str">
        <x:f>IF(J356="Unassigned","Yes","No")</x:f>
        <x:v>No</x:v>
      </x:c>
      <x:c r="U356" t="str">
        <x:f>IF(AND(E356="",F356=""),"Yes","No")</x:f>
        <x:v>No</x:v>
      </x:c>
      <x:c r="V356" t="str">
        <x:f>IF(AND('Dashboard'!$B$2-L356&gt;30,I356&lt;&gt;"Closed Won",I356&lt;&gt;"Closed Lost"),"Yes","No")</x:f>
        <x:v>No</x:v>
      </x:c>
      <x:c r="W356" t="str">
        <x:f>IF(AND(M356&lt;&gt;"",M356&lt;'Dashboard'!$B$2,I356&lt;&gt;"Closed Won",I356&lt;&gt;"Closed Lost"),"Yes","No")</x:f>
        <x:v>Yes</x:v>
      </x:c>
      <x:c r="X356" t="str">
        <x:f>IF(OR(S356="Duplicate",T356="Yes",U356="Yes",D356="Unknown",W356="Yes"),"Yes","No")</x:f>
        <x:v>Yes</x:v>
      </x:c>
      <x:c r="Y356" t="n">
        <x:f>IF(S356="Duplicate",0,1)</x:f>
        <x:v>1</x:v>
      </x:c>
    </x:row>
    <x:row r="357">
      <x:c r="A357" t="str">
        <x:v>L-0356</x:v>
      </x:c>
      <x:c r="B357" t="str">
        <x:v>Logan</x:v>
      </x:c>
      <x:c r="C357" t="str">
        <x:v>Martinez</x:v>
      </x:c>
      <x:c r="D357" t="str">
        <x:v>Unknown</x:v>
      </x:c>
      <x:c r="E357" t="str">
        <x:v>logan.martinez572@examplebiz.com</x:v>
      </x:c>
      <x:c r="F357" t="str">
        <x:v>(511) 698-5722</x:v>
      </x:c>
      <x:c r="G357" t="str">
        <x:v>NC</x:v>
      </x:c>
      <x:c r="H357" t="str">
        <x:v>Outbound</x:v>
      </x:c>
      <x:c r="I357" t="str">
        <x:v>New</x:v>
      </x:c>
      <x:c r="J357" t="str">
        <x:v>Alex Kim</x:v>
      </x:c>
      <x:c r="K357" s="6" t="n">
        <x:v>46072</x:v>
      </x:c>
      <x:c r="L357" s="6" t="n">
        <x:v>46110</x:v>
      </x:c>
      <x:c r="M357" s="6" t="n">
        <x:v>46129</x:v>
      </x:c>
      <x:c r="N357" s="8" t="n">
        <x:v>82300</x:v>
      </x:c>
      <x:c r="O357" t="str">
        <x:v>Healthcare</x:v>
      </x:c>
      <x:c r="P357" t="str">
        <x:v>No</x:v>
      </x:c>
      <x:c r="Q357" t="str">
        <x:v>No</x:v>
      </x:c>
      <x:c r="R357" s="6"/>
      <x:c r="S357" t="str">
        <x:f>IF(E357="","Unique",IF(COUNTIF($E$2:E357,E357)&gt;1,"Duplicate","Unique"))</x:f>
        <x:v>Unique</x:v>
      </x:c>
      <x:c r="T357" t="str">
        <x:f>IF(J357="Unassigned","Yes","No")</x:f>
        <x:v>No</x:v>
      </x:c>
      <x:c r="U357" t="str">
        <x:f>IF(AND(E357="",F357=""),"Yes","No")</x:f>
        <x:v>No</x:v>
      </x:c>
      <x:c r="V357" t="str">
        <x:f>IF(AND('Dashboard'!$B$2-L357&gt;30,I357&lt;&gt;"Closed Won",I357&lt;&gt;"Closed Lost"),"Yes","No")</x:f>
        <x:v>Yes</x:v>
      </x:c>
      <x:c r="W357" t="str">
        <x:f>IF(AND(M357&lt;&gt;"",M357&lt;'Dashboard'!$B$2,I357&lt;&gt;"Closed Won",I357&lt;&gt;"Closed Lost"),"Yes","No")</x:f>
        <x:v>Yes</x:v>
      </x:c>
      <x:c r="X357" t="str">
        <x:f>IF(OR(S357="Duplicate",T357="Yes",U357="Yes",D357="Unknown",W357="Yes"),"Yes","No")</x:f>
        <x:v>Yes</x:v>
      </x:c>
      <x:c r="Y357" t="n">
        <x:f>IF(S357="Duplicate",0,1)</x:f>
        <x:v>1</x:v>
      </x:c>
    </x:row>
    <x:row r="358">
      <x:c r="A358" t="str">
        <x:v>L-0357</x:v>
      </x:c>
      <x:c r="B358" t="str">
        <x:v>Lucas</x:v>
      </x:c>
      <x:c r="C358" t="str">
        <x:v>Martin</x:v>
      </x:c>
      <x:c r="D358" t="str">
        <x:v>Blue Ridge Supply</x:v>
      </x:c>
      <x:c r="E358" t="str">
        <x:v>lucas.martin298@examplebiz.com</x:v>
      </x:c>
      <x:c r="F358" t="str">
        <x:v>(233) 684-6810</x:v>
      </x:c>
      <x:c r="G358" t="str">
        <x:v>PA</x:v>
      </x:c>
      <x:c r="H358" t="str">
        <x:v>Referral</x:v>
      </x:c>
      <x:c r="I358" t="str">
        <x:v>Closed Lost</x:v>
      </x:c>
      <x:c r="J358" t="str">
        <x:v>Jordan Lee</x:v>
      </x:c>
      <x:c r="K358" s="6" t="n">
        <x:v>46196</x:v>
      </x:c>
      <x:c r="L358" s="6" t="n">
        <x:v>46223</x:v>
      </x:c>
      <x:c r="M358" s="6"/>
      <x:c r="N358" s="8" t="n">
        <x:v>50800</x:v>
      </x:c>
      <x:c r="O358" t="str">
        <x:v>Technology</x:v>
      </x:c>
      <x:c r="P358" t="str">
        <x:v>Yes</x:v>
      </x:c>
      <x:c r="Q358" t="str">
        <x:v>No</x:v>
      </x:c>
      <x:c r="R358" s="6" t="n">
        <x:v>46227</x:v>
      </x:c>
      <x:c r="S358" t="str">
        <x:f>IF(E358="","Unique",IF(COUNTIF($E$2:E358,E358)&gt;1,"Duplicate","Unique"))</x:f>
        <x:v>Unique</x:v>
      </x:c>
      <x:c r="T358" t="str">
        <x:f>IF(J358="Unassigned","Yes","No")</x:f>
        <x:v>No</x:v>
      </x:c>
      <x:c r="U358" t="str">
        <x:f>IF(AND(E358="",F358=""),"Yes","No")</x:f>
        <x:v>No</x:v>
      </x:c>
      <x:c r="V358" t="str">
        <x:f>IF(AND('Dashboard'!$B$2-L358&gt;30,I358&lt;&gt;"Closed Won",I358&lt;&gt;"Closed Lost"),"Yes","No")</x:f>
        <x:v>No</x:v>
      </x:c>
      <x:c r="W358" t="str">
        <x:f>IF(AND(M358&lt;&gt;"",M358&lt;'Dashboard'!$B$2,I358&lt;&gt;"Closed Won",I358&lt;&gt;"Closed Lost"),"Yes","No")</x:f>
        <x:v>No</x:v>
      </x:c>
      <x:c r="X358" t="str">
        <x:f>IF(OR(S358="Duplicate",T358="Yes",U358="Yes",D358="Unknown",W358="Yes"),"Yes","No")</x:f>
        <x:v>No</x:v>
      </x:c>
      <x:c r="Y358" t="n">
        <x:f>IF(S358="Duplicate",0,1)</x:f>
        <x:v>1</x:v>
      </x:c>
    </x:row>
    <x:row r="359">
      <x:c r="A359" t="str">
        <x:v>L-0358</x:v>
      </x:c>
      <x:c r="B359" t="str">
        <x:v>James</x:v>
      </x:c>
      <x:c r="C359" t="str">
        <x:v>Lee</x:v>
      </x:c>
      <x:c r="D359" t="str">
        <x:v>Apex Manufacturing</x:v>
      </x:c>
      <x:c r="E359" t="str">
        <x:v>james.lee99@examplebiz.com</x:v>
      </x:c>
      <x:c r="F359" t="str">
        <x:v>(740) 652-6132</x:v>
      </x:c>
      <x:c r="G359" t="str">
        <x:v>NY</x:v>
      </x:c>
      <x:c r="H359" t="str">
        <x:v>Website</x:v>
      </x:c>
      <x:c r="I359" t="str">
        <x:v>Qualified</x:v>
      </x:c>
      <x:c r="J359" t="str">
        <x:v>Morgan Reed</x:v>
      </x:c>
      <x:c r="K359" s="6" t="n">
        <x:v>46086</x:v>
      </x:c>
      <x:c r="L359" s="6" t="n">
        <x:v>46204</x:v>
      </x:c>
      <x:c r="M359" s="6" t="n">
        <x:v>46224</x:v>
      </x:c>
      <x:c r="N359" s="8" t="n">
        <x:v>17600</x:v>
      </x:c>
      <x:c r="O359" t="str">
        <x:v>Financial Services</x:v>
      </x:c>
      <x:c r="P359" t="str">
        <x:v>Yes</x:v>
      </x:c>
      <x:c r="Q359" t="str">
        <x:v>No</x:v>
      </x:c>
      <x:c r="R359" s="6"/>
      <x:c r="S359" t="str">
        <x:f>IF(E359="","Unique",IF(COUNTIF($E$2:E359,E359)&gt;1,"Duplicate","Unique"))</x:f>
        <x:v>Unique</x:v>
      </x:c>
      <x:c r="T359" t="str">
        <x:f>IF(J359="Unassigned","Yes","No")</x:f>
        <x:v>No</x:v>
      </x:c>
      <x:c r="U359" t="str">
        <x:f>IF(AND(E359="",F359=""),"Yes","No")</x:f>
        <x:v>No</x:v>
      </x:c>
      <x:c r="V359" t="str">
        <x:f>IF(AND('Dashboard'!$B$2-L359&gt;30,I359&lt;&gt;"Closed Won",I359&lt;&gt;"Closed Lost"),"Yes","No")</x:f>
        <x:v>Yes</x:v>
      </x:c>
      <x:c r="W359" t="str">
        <x:f>IF(AND(M359&lt;&gt;"",M359&lt;'Dashboard'!$B$2,I359&lt;&gt;"Closed Won",I359&lt;&gt;"Closed Lost"),"Yes","No")</x:f>
        <x:v>Yes</x:v>
      </x:c>
      <x:c r="X359" t="str">
        <x:f>IF(OR(S359="Duplicate",T359="Yes",U359="Yes",D359="Unknown",W359="Yes"),"Yes","No")</x:f>
        <x:v>Yes</x:v>
      </x:c>
      <x:c r="Y359" t="n">
        <x:f>IF(S359="Duplicate",0,1)</x:f>
        <x:v>1</x:v>
      </x:c>
    </x:row>
    <x:row r="360">
      <x:c r="A360" t="str">
        <x:v>L-0359</x:v>
      </x:c>
      <x:c r="B360" t="str">
        <x:v>Luna</x:v>
      </x:c>
      <x:c r="C360" t="str">
        <x:v>Martin</x:v>
      </x:c>
      <x:c r="D360" t="str">
        <x:v>Pioneer Tech</x:v>
      </x:c>
      <x:c r="E360" t="str">
        <x:v>luna.martin7@mailhub.net</x:v>
      </x:c>
      <x:c r="F360" t="str">
        <x:v>(982) 730-8540</x:v>
      </x:c>
      <x:c r="G360" t="str">
        <x:v>WA</x:v>
      </x:c>
      <x:c r="H360" t="str">
        <x:v>Trade Show</x:v>
      </x:c>
      <x:c r="I360" t="str">
        <x:v>Qualified</x:v>
      </x:c>
      <x:c r="J360" t="str">
        <x:v>Jamie Brooks</x:v>
      </x:c>
      <x:c r="K360" s="6" t="n">
        <x:v>46171</x:v>
      </x:c>
      <x:c r="L360" s="6" t="n">
        <x:v>46177</x:v>
      </x:c>
      <x:c r="M360" s="6" t="n">
        <x:v>46192</x:v>
      </x:c>
      <x:c r="N360" s="8" t="n">
        <x:v>12900</x:v>
      </x:c>
      <x:c r="O360" t="str">
        <x:v>Manufacturing</x:v>
      </x:c>
      <x:c r="P360" t="str">
        <x:v>Yes</x:v>
      </x:c>
      <x:c r="Q360" t="str">
        <x:v>No</x:v>
      </x:c>
      <x:c r="R360" s="6"/>
      <x:c r="S360" t="str">
        <x:f>IF(E360="","Unique",IF(COUNTIF($E$2:E360,E360)&gt;1,"Duplicate","Unique"))</x:f>
        <x:v>Unique</x:v>
      </x:c>
      <x:c r="T360" t="str">
        <x:f>IF(J360="Unassigned","Yes","No")</x:f>
        <x:v>No</x:v>
      </x:c>
      <x:c r="U360" t="str">
        <x:f>IF(AND(E360="",F360=""),"Yes","No")</x:f>
        <x:v>No</x:v>
      </x:c>
      <x:c r="V360" t="str">
        <x:f>IF(AND('Dashboard'!$B$2-L360&gt;30,I360&lt;&gt;"Closed Won",I360&lt;&gt;"Closed Lost"),"Yes","No")</x:f>
        <x:v>Yes</x:v>
      </x:c>
      <x:c r="W360" t="str">
        <x:f>IF(AND(M360&lt;&gt;"",M360&lt;'Dashboard'!$B$2,I360&lt;&gt;"Closed Won",I360&lt;&gt;"Closed Lost"),"Yes","No")</x:f>
        <x:v>Yes</x:v>
      </x:c>
      <x:c r="X360" t="str">
        <x:f>IF(OR(S360="Duplicate",T360="Yes",U360="Yes",D360="Unknown",W360="Yes"),"Yes","No")</x:f>
        <x:v>Yes</x:v>
      </x:c>
      <x:c r="Y360" t="n">
        <x:f>IF(S360="Duplicate",0,1)</x:f>
        <x:v>1</x:v>
      </x:c>
    </x:row>
    <x:row r="361">
      <x:c r="A361" t="str">
        <x:v>L-0360</x:v>
      </x:c>
      <x:c r="B361" t="str">
        <x:v>Elijah</x:v>
      </x:c>
      <x:c r="C361" t="str">
        <x:v>Jackson</x:v>
      </x:c>
      <x:c r="D361" t="str">
        <x:v>Blue Ridge Supply</x:v>
      </x:c>
      <x:c r="E361" t="str">
        <x:v>ethan.perez939@northmail.com</x:v>
      </x:c>
      <x:c r="F361" t="str">
        <x:v>(318) 268-1000</x:v>
      </x:c>
      <x:c r="G361" t="str">
        <x:v>OH</x:v>
      </x:c>
      <x:c r="H361" t="str">
        <x:v>LinkedIn</x:v>
      </x:c>
      <x:c r="I361" t="str">
        <x:v>New</x:v>
      </x:c>
      <x:c r="J361" t="str">
        <x:v>Alex Kim</x:v>
      </x:c>
      <x:c r="K361" s="6" t="n">
        <x:v>46086</x:v>
      </x:c>
      <x:c r="L361" s="6" t="n">
        <x:v>46165</x:v>
      </x:c>
      <x:c r="M361" s="6" t="n">
        <x:v>46168</x:v>
      </x:c>
      <x:c r="N361" s="8" t="n">
        <x:v>69000</x:v>
      </x:c>
      <x:c r="O361" t="str">
        <x:v>Retail</x:v>
      </x:c>
      <x:c r="P361" t="str">
        <x:v>No</x:v>
      </x:c>
      <x:c r="Q361" t="str">
        <x:v>No</x:v>
      </x:c>
      <x:c r="R361" s="6"/>
      <x:c r="S361" t="str">
        <x:f>IF(E361="","Unique",IF(COUNTIF($E$2:E361,E361)&gt;1,"Duplicate","Unique"))</x:f>
        <x:v>Duplicate</x:v>
      </x:c>
      <x:c r="T361" t="str">
        <x:f>IF(J361="Unassigned","Yes","No")</x:f>
        <x:v>No</x:v>
      </x:c>
      <x:c r="U361" t="str">
        <x:f>IF(AND(E361="",F361=""),"Yes","No")</x:f>
        <x:v>No</x:v>
      </x:c>
      <x:c r="V361" t="str">
        <x:f>IF(AND('Dashboard'!$B$2-L361&gt;30,I361&lt;&gt;"Closed Won",I361&lt;&gt;"Closed Lost"),"Yes","No")</x:f>
        <x:v>Yes</x:v>
      </x:c>
      <x:c r="W361" t="str">
        <x:f>IF(AND(M361&lt;&gt;"",M361&lt;'Dashboard'!$B$2,I361&lt;&gt;"Closed Won",I361&lt;&gt;"Closed Lost"),"Yes","No")</x:f>
        <x:v>Yes</x:v>
      </x:c>
      <x:c r="X361" t="str">
        <x:f>IF(OR(S361="Duplicate",T361="Yes",U361="Yes",D361="Unknown",W361="Yes"),"Yes","No")</x:f>
        <x:v>Yes</x:v>
      </x:c>
      <x:c r="Y361" t="n">
        <x:f>IF(S361="Duplicate",0,1)</x:f>
        <x:v>0</x:v>
      </x:c>
    </x:row>
    <x:row r="362">
      <x:c r="A362" t="str">
        <x:v>L-0361</x:v>
      </x:c>
      <x:c r="B362" t="str">
        <x:v>Henry</x:v>
      </x:c>
      <x:c r="C362" t="str">
        <x:v>Moore</x:v>
      </x:c>
      <x:c r="D362" t="str">
        <x:v>Summit Analytics</x:v>
      </x:c>
      <x:c r="E362" t="str">
        <x:v>henry.moore760@examplebiz.com</x:v>
      </x:c>
      <x:c r="F362" t="str">
        <x:v>(688) 691-5751</x:v>
      </x:c>
      <x:c r="G362" t="str">
        <x:v>CA</x:v>
      </x:c>
      <x:c r="H362" t="str">
        <x:v>LinkedIn</x:v>
      </x:c>
      <x:c r="I362" t="str">
        <x:v>New</x:v>
      </x:c>
      <x:c r="J362" t="str">
        <x:v>Alex Kim</x:v>
      </x:c>
      <x:c r="K362" s="6" t="n">
        <x:v>46037</x:v>
      </x:c>
      <x:c r="L362" s="6" t="n">
        <x:v>46227</x:v>
      </x:c>
      <x:c r="M362" s="6" t="n">
        <x:v>46251</x:v>
      </x:c>
      <x:c r="N362" s="8" t="n">
        <x:v>22400</x:v>
      </x:c>
      <x:c r="O362" t="str">
        <x:v>Professional Services</x:v>
      </x:c>
      <x:c r="P362" t="str">
        <x:v>No</x:v>
      </x:c>
      <x:c r="Q362" t="str">
        <x:v>No</x:v>
      </x:c>
      <x:c r="R362" s="6"/>
      <x:c r="S362" t="str">
        <x:f>IF(E362="","Unique",IF(COUNTIF($E$2:E362,E362)&gt;1,"Duplicate","Unique"))</x:f>
        <x:v>Unique</x:v>
      </x:c>
      <x:c r="T362" t="str">
        <x:f>IF(J362="Unassigned","Yes","No")</x:f>
        <x:v>No</x:v>
      </x:c>
      <x:c r="U362" t="str">
        <x:f>IF(AND(E362="",F362=""),"Yes","No")</x:f>
        <x:v>No</x:v>
      </x:c>
      <x:c r="V362" t="str">
        <x:f>IF(AND('Dashboard'!$B$2-L362&gt;30,I362&lt;&gt;"Closed Won",I362&lt;&gt;"Closed Lost"),"Yes","No")</x:f>
        <x:v>No</x:v>
      </x:c>
      <x:c r="W362" t="str">
        <x:f>IF(AND(M362&lt;&gt;"",M362&lt;'Dashboard'!$B$2,I362&lt;&gt;"Closed Won",I362&lt;&gt;"Closed Lost"),"Yes","No")</x:f>
        <x:v>No</x:v>
      </x:c>
      <x:c r="X362" t="str">
        <x:f>IF(OR(S362="Duplicate",T362="Yes",U362="Yes",D362="Unknown",W362="Yes"),"Yes","No")</x:f>
        <x:v>No</x:v>
      </x:c>
      <x:c r="Y362" t="n">
        <x:f>IF(S362="Duplicate",0,1)</x:f>
        <x:v>1</x:v>
      </x:c>
    </x:row>
    <x:row r="363">
      <x:c r="A363" t="str">
        <x:v>L-0362</x:v>
      </x:c>
      <x:c r="B363" t="str">
        <x:v>Luna</x:v>
      </x:c>
      <x:c r="C363" t="str">
        <x:v>Martinez</x:v>
      </x:c>
      <x:c r="D363" t="str">
        <x:v>Peakline Systems</x:v>
      </x:c>
      <x:c r="E363" t="str">
        <x:v>luna.martinez367@examplebiz.com</x:v>
      </x:c>
      <x:c r="F363" t="str">
        <x:v>(558) 923-9602</x:v>
      </x:c>
      <x:c r="G363" t="str">
        <x:v>CO</x:v>
      </x:c>
      <x:c r="H363" t="str">
        <x:v>Outbound</x:v>
      </x:c>
      <x:c r="I363" t="str">
        <x:v>Contacted</x:v>
      </x:c>
      <x:c r="J363" t="str">
        <x:v>Taylor Morgan</x:v>
      </x:c>
      <x:c r="K363" s="6" t="n">
        <x:v>46211</x:v>
      </x:c>
      <x:c r="L363" s="6" t="n">
        <x:v>46240</x:v>
      </x:c>
      <x:c r="M363" s="6" t="n">
        <x:v>46257</x:v>
      </x:c>
      <x:c r="N363" s="8" t="n">
        <x:v>25300</x:v>
      </x:c>
      <x:c r="O363" t="str">
        <x:v>Logistics</x:v>
      </x:c>
      <x:c r="P363" t="str">
        <x:v>No</x:v>
      </x:c>
      <x:c r="Q363" t="str">
        <x:v>No</x:v>
      </x:c>
      <x:c r="R363" s="6"/>
      <x:c r="S363" t="str">
        <x:f>IF(E363="","Unique",IF(COUNTIF($E$2:E363,E363)&gt;1,"Duplicate","Unique"))</x:f>
        <x:v>Unique</x:v>
      </x:c>
      <x:c r="T363" t="str">
        <x:f>IF(J363="Unassigned","Yes","No")</x:f>
        <x:v>No</x:v>
      </x:c>
      <x:c r="U363" t="str">
        <x:f>IF(AND(E363="",F363=""),"Yes","No")</x:f>
        <x:v>No</x:v>
      </x:c>
      <x:c r="V363" t="str">
        <x:f>IF(AND('Dashboard'!$B$2-L363&gt;30,I363&lt;&gt;"Closed Won",I363&lt;&gt;"Closed Lost"),"Yes","No")</x:f>
        <x:v>No</x:v>
      </x:c>
      <x:c r="W363" t="str">
        <x:f>IF(AND(M363&lt;&gt;"",M363&lt;'Dashboard'!$B$2,I363&lt;&gt;"Closed Won",I363&lt;&gt;"Closed Lost"),"Yes","No")</x:f>
        <x:v>No</x:v>
      </x:c>
      <x:c r="X363" t="str">
        <x:f>IF(OR(S363="Duplicate",T363="Yes",U363="Yes",D363="Unknown",W363="Yes"),"Yes","No")</x:f>
        <x:v>No</x:v>
      </x:c>
      <x:c r="Y363" t="n">
        <x:f>IF(S363="Duplicate",0,1)</x:f>
        <x:v>1</x:v>
      </x:c>
    </x:row>
    <x:row r="364">
      <x:c r="A364" t="str">
        <x:v>L-0363</x:v>
      </x:c>
      <x:c r="B364" t="str">
        <x:v>Benjamin</x:v>
      </x:c>
      <x:c r="C364" t="str">
        <x:v>Thomas</x:v>
      </x:c>
      <x:c r="D364" t="str">
        <x:v>Unknown</x:v>
      </x:c>
      <x:c r="E364" t="str">
        <x:v>benjamin.thomas603@prospect.co</x:v>
      </x:c>
      <x:c r="F364" t="str">
        <x:v>(799) 832-7615</x:v>
      </x:c>
      <x:c r="G364" t="str">
        <x:v>WA</x:v>
      </x:c>
      <x:c r="H364" t="str">
        <x:v>LinkedIn</x:v>
      </x:c>
      <x:c r="I364" t="str">
        <x:v>Qualified</x:v>
      </x:c>
      <x:c r="J364" t="str">
        <x:v>Unassigned</x:v>
      </x:c>
      <x:c r="K364" s="6" t="n">
        <x:v>46078</x:v>
      </x:c>
      <x:c r="L364" s="6" t="n">
        <x:v>46212</x:v>
      </x:c>
      <x:c r="M364" s="6" t="n">
        <x:v>46223</x:v>
      </x:c>
      <x:c r="N364" s="8" t="n">
        <x:v>13200</x:v>
      </x:c>
      <x:c r="O364" t="str">
        <x:v>Manufacturing</x:v>
      </x:c>
      <x:c r="P364" t="str">
        <x:v>Yes</x:v>
      </x:c>
      <x:c r="Q364" t="str">
        <x:v>No</x:v>
      </x:c>
      <x:c r="R364" s="6"/>
      <x:c r="S364" t="str">
        <x:f>IF(E364="","Unique",IF(COUNTIF($E$2:E364,E364)&gt;1,"Duplicate","Unique"))</x:f>
        <x:v>Unique</x:v>
      </x:c>
      <x:c r="T364" t="str">
        <x:f>IF(J364="Unassigned","Yes","No")</x:f>
        <x:v>Yes</x:v>
      </x:c>
      <x:c r="U364" t="str">
        <x:f>IF(AND(E364="",F364=""),"Yes","No")</x:f>
        <x:v>No</x:v>
      </x:c>
      <x:c r="V364" t="str">
        <x:f>IF(AND('Dashboard'!$B$2-L364&gt;30,I364&lt;&gt;"Closed Won",I364&lt;&gt;"Closed Lost"),"Yes","No")</x:f>
        <x:v>Yes</x:v>
      </x:c>
      <x:c r="W364" t="str">
        <x:f>IF(AND(M364&lt;&gt;"",M364&lt;'Dashboard'!$B$2,I364&lt;&gt;"Closed Won",I364&lt;&gt;"Closed Lost"),"Yes","No")</x:f>
        <x:v>Yes</x:v>
      </x:c>
      <x:c r="X364" t="str">
        <x:f>IF(OR(S364="Duplicate",T364="Yes",U364="Yes",D364="Unknown",W364="Yes"),"Yes","No")</x:f>
        <x:v>Yes</x:v>
      </x:c>
      <x:c r="Y364" t="n">
        <x:f>IF(S364="Duplicate",0,1)</x:f>
        <x:v>1</x:v>
      </x:c>
    </x:row>
    <x:row r="365">
      <x:c r="A365" t="str">
        <x:v>L-0364</x:v>
      </x:c>
      <x:c r="B365" t="str">
        <x:v>Ethan</x:v>
      </x:c>
      <x:c r="C365" t="str">
        <x:v>Thomas</x:v>
      </x:c>
      <x:c r="D365" t="str">
        <x:v>Vertex Solutions</x:v>
      </x:c>
      <x:c r="E365" t="str">
        <x:v>ethan.thomas647@northmail.com</x:v>
      </x:c>
      <x:c r="F365" t="str">
        <x:v>(379) 528-2763</x:v>
      </x:c>
      <x:c r="G365" t="str">
        <x:v>CO</x:v>
      </x:c>
      <x:c r="H365" t="str">
        <x:v>Trade Show</x:v>
      </x:c>
      <x:c r="I365" t="str">
        <x:v>New</x:v>
      </x:c>
      <x:c r="J365" t="str">
        <x:v>Alex Kim</x:v>
      </x:c>
      <x:c r="K365" s="6" t="n">
        <x:v>46055</x:v>
      </x:c>
      <x:c r="L365" s="6" t="n">
        <x:v>46073</x:v>
      </x:c>
      <x:c r="M365" s="6" t="n">
        <x:v>46090</x:v>
      </x:c>
      <x:c r="N365" s="8" t="n">
        <x:v>65500</x:v>
      </x:c>
      <x:c r="O365" t="str">
        <x:v>Technology</x:v>
      </x:c>
      <x:c r="P365" t="str">
        <x:v>No</x:v>
      </x:c>
      <x:c r="Q365" t="str">
        <x:v>No</x:v>
      </x:c>
      <x:c r="R365" s="6"/>
      <x:c r="S365" t="str">
        <x:f>IF(E365="","Unique",IF(COUNTIF($E$2:E365,E365)&gt;1,"Duplicate","Unique"))</x:f>
        <x:v>Unique</x:v>
      </x:c>
      <x:c r="T365" t="str">
        <x:f>IF(J365="Unassigned","Yes","No")</x:f>
        <x:v>No</x:v>
      </x:c>
      <x:c r="U365" t="str">
        <x:f>IF(AND(E365="",F365=""),"Yes","No")</x:f>
        <x:v>No</x:v>
      </x:c>
      <x:c r="V365" t="str">
        <x:f>IF(AND('Dashboard'!$B$2-L365&gt;30,I365&lt;&gt;"Closed Won",I365&lt;&gt;"Closed Lost"),"Yes","No")</x:f>
        <x:v>Yes</x:v>
      </x:c>
      <x:c r="W365" t="str">
        <x:f>IF(AND(M365&lt;&gt;"",M365&lt;'Dashboard'!$B$2,I365&lt;&gt;"Closed Won",I365&lt;&gt;"Closed Lost"),"Yes","No")</x:f>
        <x:v>Yes</x:v>
      </x:c>
      <x:c r="X365" t="str">
        <x:f>IF(OR(S365="Duplicate",T365="Yes",U365="Yes",D365="Unknown",W365="Yes"),"Yes","No")</x:f>
        <x:v>Yes</x:v>
      </x:c>
      <x:c r="Y365" t="n">
        <x:f>IF(S365="Duplicate",0,1)</x:f>
        <x:v>1</x:v>
      </x:c>
    </x:row>
    <x:row r="366">
      <x:c r="A366" t="str">
        <x:v>L-0365</x:v>
      </x:c>
      <x:c r="B366" t="str">
        <x:v>Noah</x:v>
      </x:c>
      <x:c r="C366" t="str">
        <x:v>Miller</x:v>
      </x:c>
      <x:c r="D366" t="str">
        <x:v>Peakline Systems</x:v>
      </x:c>
      <x:c r="E366" t="str">
        <x:v>noah.miller981@mailhub.net</x:v>
      </x:c>
      <x:c r="F366" t="str">
        <x:v>(395) 412-8761</x:v>
      </x:c>
      <x:c r="G366" t="str">
        <x:v>CO</x:v>
      </x:c>
      <x:c r="H366" t="str">
        <x:v>Referral</x:v>
      </x:c>
      <x:c r="I366" t="str">
        <x:v>Contacted</x:v>
      </x:c>
      <x:c r="J366" t="str">
        <x:v>Jamie Brooks</x:v>
      </x:c>
      <x:c r="K366" s="6" t="n">
        <x:v>46107</x:v>
      </x:c>
      <x:c r="L366" s="6" t="n">
        <x:v>46125</x:v>
      </x:c>
      <x:c r="M366" s="6" t="n">
        <x:v>46138</x:v>
      </x:c>
      <x:c r="N366" s="8" t="n">
        <x:v>17800</x:v>
      </x:c>
      <x:c r="O366" t="str">
        <x:v>Manufacturing</x:v>
      </x:c>
      <x:c r="P366" t="str">
        <x:v>No</x:v>
      </x:c>
      <x:c r="Q366" t="str">
        <x:v>No</x:v>
      </x:c>
      <x:c r="R366" s="6"/>
      <x:c r="S366" t="str">
        <x:f>IF(E366="","Unique",IF(COUNTIF($E$2:E366,E366)&gt;1,"Duplicate","Unique"))</x:f>
        <x:v>Unique</x:v>
      </x:c>
      <x:c r="T366" t="str">
        <x:f>IF(J366="Unassigned","Yes","No")</x:f>
        <x:v>No</x:v>
      </x:c>
      <x:c r="U366" t="str">
        <x:f>IF(AND(E366="",F366=""),"Yes","No")</x:f>
        <x:v>No</x:v>
      </x:c>
      <x:c r="V366" t="str">
        <x:f>IF(AND('Dashboard'!$B$2-L366&gt;30,I366&lt;&gt;"Closed Won",I366&lt;&gt;"Closed Lost"),"Yes","No")</x:f>
        <x:v>Yes</x:v>
      </x:c>
      <x:c r="W366" t="str">
        <x:f>IF(AND(M366&lt;&gt;"",M366&lt;'Dashboard'!$B$2,I366&lt;&gt;"Closed Won",I366&lt;&gt;"Closed Lost"),"Yes","No")</x:f>
        <x:v>Yes</x:v>
      </x:c>
      <x:c r="X366" t="str">
        <x:f>IF(OR(S366="Duplicate",T366="Yes",U366="Yes",D366="Unknown",W366="Yes"),"Yes","No")</x:f>
        <x:v>Yes</x:v>
      </x:c>
      <x:c r="Y366" t="n">
        <x:f>IF(S366="Duplicate",0,1)</x:f>
        <x:v>1</x:v>
      </x:c>
    </x:row>
    <x:row r="367">
      <x:c r="A367" t="str">
        <x:v>L-0366</x:v>
      </x:c>
      <x:c r="B367" t="str">
        <x:v>Liam</x:v>
      </x:c>
      <x:c r="C367" t="str">
        <x:v>Thompson</x:v>
      </x:c>
      <x:c r="D367" t="str">
        <x:v>Redstone Consulting</x:v>
      </x:c>
      <x:c r="E367" t="str">
        <x:v>henry.thompson786@mailhub.net</x:v>
      </x:c>
      <x:c r="F367" t="str">
        <x:v>495-276-9755</x:v>
      </x:c>
      <x:c r="G367" t="str">
        <x:v>FL</x:v>
      </x:c>
      <x:c r="H367" t="str">
        <x:v>Email Campaign</x:v>
      </x:c>
      <x:c r="I367" t="str">
        <x:v>Contacted</x:v>
      </x:c>
      <x:c r="J367" t="str">
        <x:v>Jordan Lee</x:v>
      </x:c>
      <x:c r="K367" s="6" t="n">
        <x:v>46034</x:v>
      </x:c>
      <x:c r="L367" s="6" t="n">
        <x:v>46098</x:v>
      </x:c>
      <x:c r="M367" s="6" t="n">
        <x:v>46113</x:v>
      </x:c>
      <x:c r="N367" s="8" t="n">
        <x:v>60500</x:v>
      </x:c>
      <x:c r="O367" t="str">
        <x:v>Healthcare</x:v>
      </x:c>
      <x:c r="P367" t="str">
        <x:v>No</x:v>
      </x:c>
      <x:c r="Q367" t="str">
        <x:v>No</x:v>
      </x:c>
      <x:c r="R367" s="6"/>
      <x:c r="S367" t="str">
        <x:f>IF(E367="","Unique",IF(COUNTIF($E$2:E367,E367)&gt;1,"Duplicate","Unique"))</x:f>
        <x:v>Duplicate</x:v>
      </x:c>
      <x:c r="T367" t="str">
        <x:f>IF(J367="Unassigned","Yes","No")</x:f>
        <x:v>No</x:v>
      </x:c>
      <x:c r="U367" t="str">
        <x:f>IF(AND(E367="",F367=""),"Yes","No")</x:f>
        <x:v>No</x:v>
      </x:c>
      <x:c r="V367" t="str">
        <x:f>IF(AND('Dashboard'!$B$2-L367&gt;30,I367&lt;&gt;"Closed Won",I367&lt;&gt;"Closed Lost"),"Yes","No")</x:f>
        <x:v>Yes</x:v>
      </x:c>
      <x:c r="W367" t="str">
        <x:f>IF(AND(M367&lt;&gt;"",M367&lt;'Dashboard'!$B$2,I367&lt;&gt;"Closed Won",I367&lt;&gt;"Closed Lost"),"Yes","No")</x:f>
        <x:v>Yes</x:v>
      </x:c>
      <x:c r="X367" t="str">
        <x:f>IF(OR(S367="Duplicate",T367="Yes",U367="Yes",D367="Unknown",W367="Yes"),"Yes","No")</x:f>
        <x:v>Yes</x:v>
      </x:c>
      <x:c r="Y367" t="n">
        <x:f>IF(S367="Duplicate",0,1)</x:f>
        <x:v>0</x:v>
      </x:c>
    </x:row>
    <x:row r="368">
      <x:c r="A368" t="str">
        <x:v>L-0367</x:v>
      </x:c>
      <x:c r="B368" t="str">
        <x:v>Liam</x:v>
      </x:c>
      <x:c r="C368" t="str">
        <x:v>Jones</x:v>
      </x:c>
      <x:c r="D368" t="str">
        <x:v>Apex Manufacturing</x:v>
      </x:c>
      <x:c r="E368" t="str">
        <x:v>liam.jones856@northmail.com</x:v>
      </x:c>
      <x:c r="F368" t="str">
        <x:v>(555) 272-7819</x:v>
      </x:c>
      <x:c r="G368" t="str">
        <x:v>OH</x:v>
      </x:c>
      <x:c r="H368" t="str">
        <x:v>Outbound</x:v>
      </x:c>
      <x:c r="I368" t="str">
        <x:v>New</x:v>
      </x:c>
      <x:c r="J368" t="str">
        <x:v>Jamie Brooks</x:v>
      </x:c>
      <x:c r="K368" s="6" t="n">
        <x:v>46120</x:v>
      </x:c>
      <x:c r="L368" s="6" t="n">
        <x:v>46138</x:v>
      </x:c>
      <x:c r="M368" s="6" t="n">
        <x:v>46159</x:v>
      </x:c>
      <x:c r="N368" s="8" t="n">
        <x:v>77100</x:v>
      </x:c>
      <x:c r="O368" t="str">
        <x:v>Biotech</x:v>
      </x:c>
      <x:c r="P368" t="str">
        <x:v>No</x:v>
      </x:c>
      <x:c r="Q368" t="str">
        <x:v>No</x:v>
      </x:c>
      <x:c r="R368" s="6"/>
      <x:c r="S368" t="str">
        <x:f>IF(E368="","Unique",IF(COUNTIF($E$2:E368,E368)&gt;1,"Duplicate","Unique"))</x:f>
        <x:v>Unique</x:v>
      </x:c>
      <x:c r="T368" t="str">
        <x:f>IF(J368="Unassigned","Yes","No")</x:f>
        <x:v>No</x:v>
      </x:c>
      <x:c r="U368" t="str">
        <x:f>IF(AND(E368="",F368=""),"Yes","No")</x:f>
        <x:v>No</x:v>
      </x:c>
      <x:c r="V368" t="str">
        <x:f>IF(AND('Dashboard'!$B$2-L368&gt;30,I368&lt;&gt;"Closed Won",I368&lt;&gt;"Closed Lost"),"Yes","No")</x:f>
        <x:v>Yes</x:v>
      </x:c>
      <x:c r="W368" t="str">
        <x:f>IF(AND(M368&lt;&gt;"",M368&lt;'Dashboard'!$B$2,I368&lt;&gt;"Closed Won",I368&lt;&gt;"Closed Lost"),"Yes","No")</x:f>
        <x:v>Yes</x:v>
      </x:c>
      <x:c r="X368" t="str">
        <x:f>IF(OR(S368="Duplicate",T368="Yes",U368="Yes",D368="Unknown",W368="Yes"),"Yes","No")</x:f>
        <x:v>Yes</x:v>
      </x:c>
      <x:c r="Y368" t="n">
        <x:f>IF(S368="Duplicate",0,1)</x:f>
        <x:v>1</x:v>
      </x:c>
    </x:row>
    <x:row r="369">
      <x:c r="A369" t="str">
        <x:v>L-0368</x:v>
      </x:c>
      <x:c r="B369" t="str">
        <x:v>Liam</x:v>
      </x:c>
      <x:c r="C369" t="str">
        <x:v>Smith</x:v>
      </x:c>
      <x:c r="D369" t="str">
        <x:v>Apex Manufacturing</x:v>
      </x:c>
      <x:c r="E369" t="str">
        <x:v>liam.smith129@mailhub.net</x:v>
      </x:c>
      <x:c r="F369" t="str">
        <x:v>(919) 637-3257</x:v>
      </x:c>
      <x:c r="G369" t="str">
        <x:v>OH</x:v>
      </x:c>
      <x:c r="H369" t="str">
        <x:v>LinkedIn</x:v>
      </x:c>
      <x:c r="I369" t="str">
        <x:v>New</x:v>
      </x:c>
      <x:c r="J369" t="str">
        <x:v>Jamie Brooks</x:v>
      </x:c>
      <x:c r="K369" s="6" t="n">
        <x:v>46123</x:v>
      </x:c>
      <x:c r="L369" s="6" t="n">
        <x:v>46136</x:v>
      </x:c>
      <x:c r="M369" s="6" t="n">
        <x:v>46151</x:v>
      </x:c>
      <x:c r="N369" s="8" t="n">
        <x:v>65700</x:v>
      </x:c>
      <x:c r="O369" t="str">
        <x:v>Professional Services</x:v>
      </x:c>
      <x:c r="P369" t="str">
        <x:v>No</x:v>
      </x:c>
      <x:c r="Q369" t="str">
        <x:v>No</x:v>
      </x:c>
      <x:c r="R369" s="6"/>
      <x:c r="S369" t="str">
        <x:f>IF(E369="","Unique",IF(COUNTIF($E$2:E369,E369)&gt;1,"Duplicate","Unique"))</x:f>
        <x:v>Unique</x:v>
      </x:c>
      <x:c r="T369" t="str">
        <x:f>IF(J369="Unassigned","Yes","No")</x:f>
        <x:v>No</x:v>
      </x:c>
      <x:c r="U369" t="str">
        <x:f>IF(AND(E369="",F369=""),"Yes","No")</x:f>
        <x:v>No</x:v>
      </x:c>
      <x:c r="V369" t="str">
        <x:f>IF(AND('Dashboard'!$B$2-L369&gt;30,I369&lt;&gt;"Closed Won",I369&lt;&gt;"Closed Lost"),"Yes","No")</x:f>
        <x:v>Yes</x:v>
      </x:c>
      <x:c r="W369" t="str">
        <x:f>IF(AND(M369&lt;&gt;"",M369&lt;'Dashboard'!$B$2,I369&lt;&gt;"Closed Won",I369&lt;&gt;"Closed Lost"),"Yes","No")</x:f>
        <x:v>Yes</x:v>
      </x:c>
      <x:c r="X369" t="str">
        <x:f>IF(OR(S369="Duplicate",T369="Yes",U369="Yes",D369="Unknown",W369="Yes"),"Yes","No")</x:f>
        <x:v>Yes</x:v>
      </x:c>
      <x:c r="Y369" t="n">
        <x:f>IF(S369="Duplicate",0,1)</x:f>
        <x:v>1</x:v>
      </x:c>
    </x:row>
    <x:row r="370">
      <x:c r="A370" t="str">
        <x:v>L-0369</x:v>
      </x:c>
      <x:c r="B370" t="str">
        <x:v>Mason</x:v>
      </x:c>
      <x:c r="C370" t="str">
        <x:v>Johnson</x:v>
      </x:c>
      <x:c r="D370" t="str">
        <x:v>Brightpath Health</x:v>
      </x:c>
      <x:c r="E370" t="str">
        <x:v>mason.johnson300@examplebiz.com</x:v>
      </x:c>
      <x:c r="F370" t="str">
        <x:v>(821) 607-8843</x:v>
      </x:c>
      <x:c r="G370" t="str">
        <x:v>CA</x:v>
      </x:c>
      <x:c r="H370" t="str">
        <x:v>Webinar</x:v>
      </x:c>
      <x:c r="I370" t="str">
        <x:v>Contacted</x:v>
      </x:c>
      <x:c r="J370" t="str">
        <x:v>Taylor Morgan</x:v>
      </x:c>
      <x:c r="K370" s="6" t="n">
        <x:v>46166</x:v>
      </x:c>
      <x:c r="L370" s="6" t="n">
        <x:v>46210</x:v>
      </x:c>
      <x:c r="M370" s="6" t="n">
        <x:v>46232</x:v>
      </x:c>
      <x:c r="N370" s="8" t="n">
        <x:v>56600</x:v>
      </x:c>
      <x:c r="O370" t="str">
        <x:v>Healthcare</x:v>
      </x:c>
      <x:c r="P370" t="str">
        <x:v>No</x:v>
      </x:c>
      <x:c r="Q370" t="str">
        <x:v>No</x:v>
      </x:c>
      <x:c r="R370" s="6"/>
      <x:c r="S370" t="str">
        <x:f>IF(E370="","Unique",IF(COUNTIF($E$2:E370,E370)&gt;1,"Duplicate","Unique"))</x:f>
        <x:v>Unique</x:v>
      </x:c>
      <x:c r="T370" t="str">
        <x:f>IF(J370="Unassigned","Yes","No")</x:f>
        <x:v>No</x:v>
      </x:c>
      <x:c r="U370" t="str">
        <x:f>IF(AND(E370="",F370=""),"Yes","No")</x:f>
        <x:v>No</x:v>
      </x:c>
      <x:c r="V370" t="str">
        <x:f>IF(AND('Dashboard'!$B$2-L370&gt;30,I370&lt;&gt;"Closed Won",I370&lt;&gt;"Closed Lost"),"Yes","No")</x:f>
        <x:v>Yes</x:v>
      </x:c>
      <x:c r="W370" t="str">
        <x:f>IF(AND(M370&lt;&gt;"",M370&lt;'Dashboard'!$B$2,I370&lt;&gt;"Closed Won",I370&lt;&gt;"Closed Lost"),"Yes","No")</x:f>
        <x:v>Yes</x:v>
      </x:c>
      <x:c r="X370" t="str">
        <x:f>IF(OR(S370="Duplicate",T370="Yes",U370="Yes",D370="Unknown",W370="Yes"),"Yes","No")</x:f>
        <x:v>Yes</x:v>
      </x:c>
      <x:c r="Y370" t="n">
        <x:f>IF(S370="Duplicate",0,1)</x:f>
        <x:v>1</x:v>
      </x:c>
    </x:row>
    <x:row r="371">
      <x:c r="A371" t="str">
        <x:v>L-0370</x:v>
      </x:c>
      <x:c r="B371" t="str">
        <x:v>Mason</x:v>
      </x:c>
      <x:c r="C371" t="str">
        <x:v>Martin</x:v>
      </x:c>
      <x:c r="D371" t="str">
        <x:v>Horizon Bio</x:v>
      </x:c>
      <x:c r="E371" t="str">
        <x:v>mason.martin287@northmail.com</x:v>
      </x:c>
      <x:c r="F371" t="str">
        <x:v>(409) 340-9535</x:v>
      </x:c>
      <x:c r="G371" t="str">
        <x:v>PA</x:v>
      </x:c>
      <x:c r="H371" t="str">
        <x:v>Trade Show</x:v>
      </x:c>
      <x:c r="I371" t="str">
        <x:v>New</x:v>
      </x:c>
      <x:c r="J371" t="str">
        <x:v>Morgan Reed</x:v>
      </x:c>
      <x:c r="K371" s="6" t="n">
        <x:v>46158</x:v>
      </x:c>
      <x:c r="L371" s="6" t="n">
        <x:v>46210</x:v>
      </x:c>
      <x:c r="M371" s="6" t="n">
        <x:v>46235</x:v>
      </x:c>
      <x:c r="N371" s="8" t="n">
        <x:v>80900</x:v>
      </x:c>
      <x:c r="O371" t="str">
        <x:v>Biotech</x:v>
      </x:c>
      <x:c r="P371" t="str">
        <x:v>No</x:v>
      </x:c>
      <x:c r="Q371" t="str">
        <x:v>No</x:v>
      </x:c>
      <x:c r="R371" s="6"/>
      <x:c r="S371" t="str">
        <x:f>IF(E371="","Unique",IF(COUNTIF($E$2:E371,E371)&gt;1,"Duplicate","Unique"))</x:f>
        <x:v>Unique</x:v>
      </x:c>
      <x:c r="T371" t="str">
        <x:f>IF(J371="Unassigned","Yes","No")</x:f>
        <x:v>No</x:v>
      </x:c>
      <x:c r="U371" t="str">
        <x:f>IF(AND(E371="",F371=""),"Yes","No")</x:f>
        <x:v>No</x:v>
      </x:c>
      <x:c r="V371" t="str">
        <x:f>IF(AND('Dashboard'!$B$2-L371&gt;30,I371&lt;&gt;"Closed Won",I371&lt;&gt;"Closed Lost"),"Yes","No")</x:f>
        <x:v>Yes</x:v>
      </x:c>
      <x:c r="W371" t="str">
        <x:f>IF(AND(M371&lt;&gt;"",M371&lt;'Dashboard'!$B$2,I371&lt;&gt;"Closed Won",I371&lt;&gt;"Closed Lost"),"Yes","No")</x:f>
        <x:v>Yes</x:v>
      </x:c>
      <x:c r="X371" t="str">
        <x:f>IF(OR(S371="Duplicate",T371="Yes",U371="Yes",D371="Unknown",W371="Yes"),"Yes","No")</x:f>
        <x:v>Yes</x:v>
      </x:c>
      <x:c r="Y371" t="n">
        <x:f>IF(S371="Duplicate",0,1)</x:f>
        <x:v>1</x:v>
      </x:c>
    </x:row>
    <x:row r="372">
      <x:c r="A372" t="str">
        <x:v>L-0371</x:v>
      </x:c>
      <x:c r="B372" t="str">
        <x:v>Luna</x:v>
      </x:c>
      <x:c r="C372" t="str">
        <x:v>Thomas</x:v>
      </x:c>
      <x:c r="D372" t="str">
        <x:v>Evergreen Services</x:v>
      </x:c>
      <x:c r="E372" t="str"/>
      <x:c r="F372" t="str">
        <x:v>(589) 388-8062</x:v>
      </x:c>
      <x:c r="G372" t="str">
        <x:v>CO</x:v>
      </x:c>
      <x:c r="H372" t="str">
        <x:v>Referral</x:v>
      </x:c>
      <x:c r="I372" t="str">
        <x:v>Opportunity</x:v>
      </x:c>
      <x:c r="J372" t="str">
        <x:v>Jordan Lee</x:v>
      </x:c>
      <x:c r="K372" s="6" t="n">
        <x:v>46120</x:v>
      </x:c>
      <x:c r="L372" s="6" t="n">
        <x:v>46124</x:v>
      </x:c>
      <x:c r="M372" s="6" t="n">
        <x:v>46139</x:v>
      </x:c>
      <x:c r="N372" s="8" t="n">
        <x:v>34200</x:v>
      </x:c>
      <x:c r="O372" t="str">
        <x:v>Technology</x:v>
      </x:c>
      <x:c r="P372" t="str">
        <x:v>Yes</x:v>
      </x:c>
      <x:c r="Q372" t="str">
        <x:v>No</x:v>
      </x:c>
      <x:c r="R372" s="6"/>
      <x:c r="S372" t="str">
        <x:f>IF(E372="","Unique",IF(COUNTIF($E$2:E372,E372)&gt;1,"Duplicate","Unique"))</x:f>
        <x:v>Unique</x:v>
      </x:c>
      <x:c r="T372" t="str">
        <x:f>IF(J372="Unassigned","Yes","No")</x:f>
        <x:v>No</x:v>
      </x:c>
      <x:c r="U372" t="str">
        <x:f>IF(AND(E372="",F372=""),"Yes","No")</x:f>
        <x:v>No</x:v>
      </x:c>
      <x:c r="V372" t="str">
        <x:f>IF(AND('Dashboard'!$B$2-L372&gt;30,I372&lt;&gt;"Closed Won",I372&lt;&gt;"Closed Lost"),"Yes","No")</x:f>
        <x:v>Yes</x:v>
      </x:c>
      <x:c r="W372" t="str">
        <x:f>IF(AND(M372&lt;&gt;"",M372&lt;'Dashboard'!$B$2,I372&lt;&gt;"Closed Won",I372&lt;&gt;"Closed Lost"),"Yes","No")</x:f>
        <x:v>Yes</x:v>
      </x:c>
      <x:c r="X372" t="str">
        <x:f>IF(OR(S372="Duplicate",T372="Yes",U372="Yes",D372="Unknown",W372="Yes"),"Yes","No")</x:f>
        <x:v>Yes</x:v>
      </x:c>
      <x:c r="Y372" t="n">
        <x:f>IF(S372="Duplicate",0,1)</x:f>
        <x:v>1</x:v>
      </x:c>
    </x:row>
    <x:row r="373">
      <x:c r="A373" t="str">
        <x:v>L-0372</x:v>
      </x:c>
      <x:c r="B373" t="str">
        <x:v>Henry</x:v>
      </x:c>
      <x:c r="C373" t="str">
        <x:v>Taylor</x:v>
      </x:c>
      <x:c r="D373" t="str">
        <x:v>Vertex Solutions</x:v>
      </x:c>
      <x:c r="E373" t="str">
        <x:v>henry.taylor475@mailhub.net</x:v>
      </x:c>
      <x:c r="F373" t="str">
        <x:v>(787) 936-9501</x:v>
      </x:c>
      <x:c r="G373" t="str">
        <x:v>TX</x:v>
      </x:c>
      <x:c r="H373" t="str">
        <x:v>Trade Show</x:v>
      </x:c>
      <x:c r="I373" t="str">
        <x:v>Closed Lost</x:v>
      </x:c>
      <x:c r="J373" t="str">
        <x:v>Alex Kim</x:v>
      </x:c>
      <x:c r="K373" s="6" t="n">
        <x:v>46073</x:v>
      </x:c>
      <x:c r="L373" s="6" t="n">
        <x:v>46146</x:v>
      </x:c>
      <x:c r="M373" s="6"/>
      <x:c r="N373" s="8" t="n">
        <x:v>73300</x:v>
      </x:c>
      <x:c r="O373" t="str">
        <x:v>Healthcare</x:v>
      </x:c>
      <x:c r="P373" t="str">
        <x:v>Yes</x:v>
      </x:c>
      <x:c r="Q373" t="str">
        <x:v>No</x:v>
      </x:c>
      <x:c r="R373" s="6" t="n">
        <x:v>46150</x:v>
      </x:c>
      <x:c r="S373" t="str">
        <x:f>IF(E373="","Unique",IF(COUNTIF($E$2:E373,E373)&gt;1,"Duplicate","Unique"))</x:f>
        <x:v>Unique</x:v>
      </x:c>
      <x:c r="T373" t="str">
        <x:f>IF(J373="Unassigned","Yes","No")</x:f>
        <x:v>No</x:v>
      </x:c>
      <x:c r="U373" t="str">
        <x:f>IF(AND(E373="",F373=""),"Yes","No")</x:f>
        <x:v>No</x:v>
      </x:c>
      <x:c r="V373" t="str">
        <x:f>IF(AND('Dashboard'!$B$2-L373&gt;30,I373&lt;&gt;"Closed Won",I373&lt;&gt;"Closed Lost"),"Yes","No")</x:f>
        <x:v>No</x:v>
      </x:c>
      <x:c r="W373" t="str">
        <x:f>IF(AND(M373&lt;&gt;"",M373&lt;'Dashboard'!$B$2,I373&lt;&gt;"Closed Won",I373&lt;&gt;"Closed Lost"),"Yes","No")</x:f>
        <x:v>No</x:v>
      </x:c>
      <x:c r="X373" t="str">
        <x:f>IF(OR(S373="Duplicate",T373="Yes",U373="Yes",D373="Unknown",W373="Yes"),"Yes","No")</x:f>
        <x:v>No</x:v>
      </x:c>
      <x:c r="Y373" t="n">
        <x:f>IF(S373="Duplicate",0,1)</x:f>
        <x:v>1</x:v>
      </x:c>
    </x:row>
    <x:row r="374">
      <x:c r="A374" t="str">
        <x:v>L-0373</x:v>
      </x:c>
      <x:c r="B374" t="str">
        <x:v>Sophia</x:v>
      </x:c>
      <x:c r="C374" t="str">
        <x:v>Anderson</x:v>
      </x:c>
      <x:c r="D374" t="str">
        <x:v>Horizon Bio</x:v>
      </x:c>
      <x:c r="E374" t="str">
        <x:v>sophia.anderson868@examplebiz.com</x:v>
      </x:c>
      <x:c r="F374" t="str">
        <x:v>(655) 673-1282</x:v>
      </x:c>
      <x:c r="G374" t="str">
        <x:v>OH</x:v>
      </x:c>
      <x:c r="H374" t="str">
        <x:v>Email Campaign</x:v>
      </x:c>
      <x:c r="I374" t="str">
        <x:v>Opportunity</x:v>
      </x:c>
      <x:c r="J374" t="str">
        <x:v>Casey Patel</x:v>
      </x:c>
      <x:c r="K374" s="6" t="n">
        <x:v>46215</x:v>
      </x:c>
      <x:c r="L374" s="6" t="n">
        <x:v>46234</x:v>
      </x:c>
      <x:c r="M374" s="6" t="n">
        <x:v>46255</x:v>
      </x:c>
      <x:c r="N374" s="8" t="n">
        <x:v>57000</x:v>
      </x:c>
      <x:c r="O374" t="str">
        <x:v>Financial Services</x:v>
      </x:c>
      <x:c r="P374" t="str">
        <x:v>Yes</x:v>
      </x:c>
      <x:c r="Q374" t="str">
        <x:v>No</x:v>
      </x:c>
      <x:c r="R374" s="6"/>
      <x:c r="S374" t="str">
        <x:f>IF(E374="","Unique",IF(COUNTIF($E$2:E374,E374)&gt;1,"Duplicate","Unique"))</x:f>
        <x:v>Unique</x:v>
      </x:c>
      <x:c r="T374" t="str">
        <x:f>IF(J374="Unassigned","Yes","No")</x:f>
        <x:v>No</x:v>
      </x:c>
      <x:c r="U374" t="str">
        <x:f>IF(AND(E374="",F374=""),"Yes","No")</x:f>
        <x:v>No</x:v>
      </x:c>
      <x:c r="V374" t="str">
        <x:f>IF(AND('Dashboard'!$B$2-L374&gt;30,I374&lt;&gt;"Closed Won",I374&lt;&gt;"Closed Lost"),"Yes","No")</x:f>
        <x:v>No</x:v>
      </x:c>
      <x:c r="W374" t="str">
        <x:f>IF(AND(M374&lt;&gt;"",M374&lt;'Dashboard'!$B$2,I374&lt;&gt;"Closed Won",I374&lt;&gt;"Closed Lost"),"Yes","No")</x:f>
        <x:v>No</x:v>
      </x:c>
      <x:c r="X374" t="str">
        <x:f>IF(OR(S374="Duplicate",T374="Yes",U374="Yes",D374="Unknown",W374="Yes"),"Yes","No")</x:f>
        <x:v>No</x:v>
      </x:c>
      <x:c r="Y374" t="n">
        <x:f>IF(S374="Duplicate",0,1)</x:f>
        <x:v>1</x:v>
      </x:c>
    </x:row>
    <x:row r="375">
      <x:c r="A375" t="str">
        <x:v>L-0374</x:v>
      </x:c>
      <x:c r="B375" t="str">
        <x:v>Sophia</x:v>
      </x:c>
      <x:c r="C375" t="str">
        <x:v>Rodriguez</x:v>
      </x:c>
      <x:c r="D375" t="str">
        <x:v>Atlas Commerce</x:v>
      </x:c>
      <x:c r="E375" t="str">
        <x:v>benjamin.williams179@examplebiz.com</x:v>
      </x:c>
      <x:c r="F375" t="str">
        <x:v>(794) 524-1687</x:v>
      </x:c>
      <x:c r="G375" t="str">
        <x:v>FL</x:v>
      </x:c>
      <x:c r="H375" t="str">
        <x:v>LinkedIn</x:v>
      </x:c>
      <x:c r="I375" t="str">
        <x:v>New</x:v>
      </x:c>
      <x:c r="J375" t="str">
        <x:v>Jordan Lee</x:v>
      </x:c>
      <x:c r="K375" s="6" t="n">
        <x:v>46088</x:v>
      </x:c>
      <x:c r="L375" s="6" t="n">
        <x:v>46100</x:v>
      </x:c>
      <x:c r="M375" s="6" t="n">
        <x:v>46110</x:v>
      </x:c>
      <x:c r="N375" s="8" t="n">
        <x:v>11900</x:v>
      </x:c>
      <x:c r="O375" t="str">
        <x:v>Manufacturing</x:v>
      </x:c>
      <x:c r="P375" t="str">
        <x:v>No</x:v>
      </x:c>
      <x:c r="Q375" t="str">
        <x:v>No</x:v>
      </x:c>
      <x:c r="R375" s="6"/>
      <x:c r="S375" t="str">
        <x:f>IF(E375="","Unique",IF(COUNTIF($E$2:E375,E375)&gt;1,"Duplicate","Unique"))</x:f>
        <x:v>Duplicate</x:v>
      </x:c>
      <x:c r="T375" t="str">
        <x:f>IF(J375="Unassigned","Yes","No")</x:f>
        <x:v>No</x:v>
      </x:c>
      <x:c r="U375" t="str">
        <x:f>IF(AND(E375="",F375=""),"Yes","No")</x:f>
        <x:v>No</x:v>
      </x:c>
      <x:c r="V375" t="str">
        <x:f>IF(AND('Dashboard'!$B$2-L375&gt;30,I375&lt;&gt;"Closed Won",I375&lt;&gt;"Closed Lost"),"Yes","No")</x:f>
        <x:v>Yes</x:v>
      </x:c>
      <x:c r="W375" t="str">
        <x:f>IF(AND(M375&lt;&gt;"",M375&lt;'Dashboard'!$B$2,I375&lt;&gt;"Closed Won",I375&lt;&gt;"Closed Lost"),"Yes","No")</x:f>
        <x:v>Yes</x:v>
      </x:c>
      <x:c r="X375" t="str">
        <x:f>IF(OR(S375="Duplicate",T375="Yes",U375="Yes",D375="Unknown",W375="Yes"),"Yes","No")</x:f>
        <x:v>Yes</x:v>
      </x:c>
      <x:c r="Y375" t="n">
        <x:f>IF(S375="Duplicate",0,1)</x:f>
        <x:v>0</x:v>
      </x:c>
    </x:row>
    <x:row r="376">
      <x:c r="A376" t="str">
        <x:v>L-0375</x:v>
      </x:c>
      <x:c r="B376" t="str">
        <x:v>Olivia</x:v>
      </x:c>
      <x:c r="C376" t="str">
        <x:v>Wilson</x:v>
      </x:c>
      <x:c r="D376" t="str">
        <x:v>Pioneer Tech</x:v>
      </x:c>
      <x:c r="E376" t="str"/>
      <x:c r="F376" t="str">
        <x:v>(868) 583-8711</x:v>
      </x:c>
      <x:c r="G376" t="str">
        <x:v>TX</x:v>
      </x:c>
      <x:c r="H376" t="str">
        <x:v>LinkedIn</x:v>
      </x:c>
      <x:c r="I376" t="str">
        <x:v>Closed Won</x:v>
      </x:c>
      <x:c r="J376" t="str">
        <x:v>Casey Patel</x:v>
      </x:c>
      <x:c r="K376" s="6" t="n">
        <x:v>46210</x:v>
      </x:c>
      <x:c r="L376" s="6" t="n">
        <x:v>46211</x:v>
      </x:c>
      <x:c r="M376" s="6"/>
      <x:c r="N376" s="8" t="n">
        <x:v>29400</x:v>
      </x:c>
      <x:c r="O376" t="str">
        <x:v>Professional Services</x:v>
      </x:c>
      <x:c r="P376" t="str">
        <x:v>Yes</x:v>
      </x:c>
      <x:c r="Q376" t="str">
        <x:v>Yes</x:v>
      </x:c>
      <x:c r="R376" s="6" t="n">
        <x:v>46211</x:v>
      </x:c>
      <x:c r="S376" t="str">
        <x:f>IF(E376="","Unique",IF(COUNTIF($E$2:E376,E376)&gt;1,"Duplicate","Unique"))</x:f>
        <x:v>Unique</x:v>
      </x:c>
      <x:c r="T376" t="str">
        <x:f>IF(J376="Unassigned","Yes","No")</x:f>
        <x:v>No</x:v>
      </x:c>
      <x:c r="U376" t="str">
        <x:f>IF(AND(E376="",F376=""),"Yes","No")</x:f>
        <x:v>No</x:v>
      </x:c>
      <x:c r="V376" t="str">
        <x:f>IF(AND('Dashboard'!$B$2-L376&gt;30,I376&lt;&gt;"Closed Won",I376&lt;&gt;"Closed Lost"),"Yes","No")</x:f>
        <x:v>No</x:v>
      </x:c>
      <x:c r="W376" t="str">
        <x:f>IF(AND(M376&lt;&gt;"",M376&lt;'Dashboard'!$B$2,I376&lt;&gt;"Closed Won",I376&lt;&gt;"Closed Lost"),"Yes","No")</x:f>
        <x:v>No</x:v>
      </x:c>
      <x:c r="X376" t="str">
        <x:f>IF(OR(S376="Duplicate",T376="Yes",U376="Yes",D376="Unknown",W376="Yes"),"Yes","No")</x:f>
        <x:v>No</x:v>
      </x:c>
      <x:c r="Y376" t="n">
        <x:f>IF(S376="Duplicate",0,1)</x:f>
        <x:v>1</x:v>
      </x:c>
    </x:row>
    <x:row r="377">
      <x:c r="A377" t="str">
        <x:v>L-0376</x:v>
      </x:c>
      <x:c r="B377" t="str">
        <x:v>Luna</x:v>
      </x:c>
      <x:c r="C377" t="str">
        <x:v>Johnson</x:v>
      </x:c>
      <x:c r="D377" t="str">
        <x:v>Blue Ridge Supply</x:v>
      </x:c>
      <x:c r="E377" t="str">
        <x:v>luna.johnson562@mailhub.net</x:v>
      </x:c>
      <x:c r="F377" t="str">
        <x:v>(752) 950-2986</x:v>
      </x:c>
      <x:c r="G377" t="str">
        <x:v>OH</x:v>
      </x:c>
      <x:c r="H377" t="str">
        <x:v>Website</x:v>
      </x:c>
      <x:c r="I377" t="str">
        <x:v>New</x:v>
      </x:c>
      <x:c r="J377" t="str">
        <x:v>Jamie Brooks</x:v>
      </x:c>
      <x:c r="K377" s="6" t="n">
        <x:v>46189</x:v>
      </x:c>
      <x:c r="L377" s="6" t="n">
        <x:v>46225</x:v>
      </x:c>
      <x:c r="M377" s="6" t="n">
        <x:v>46244</x:v>
      </x:c>
      <x:c r="N377" s="8" t="n">
        <x:v>84800</x:v>
      </x:c>
      <x:c r="O377" t="str">
        <x:v>Professional Services</x:v>
      </x:c>
      <x:c r="P377" t="str">
        <x:v>No</x:v>
      </x:c>
      <x:c r="Q377" t="str">
        <x:v>No</x:v>
      </x:c>
      <x:c r="R377" s="6"/>
      <x:c r="S377" t="str">
        <x:f>IF(E377="","Unique",IF(COUNTIF($E$2:E377,E377)&gt;1,"Duplicate","Unique"))</x:f>
        <x:v>Unique</x:v>
      </x:c>
      <x:c r="T377" t="str">
        <x:f>IF(J377="Unassigned","Yes","No")</x:f>
        <x:v>No</x:v>
      </x:c>
      <x:c r="U377" t="str">
        <x:f>IF(AND(E377="",F377=""),"Yes","No")</x:f>
        <x:v>No</x:v>
      </x:c>
      <x:c r="V377" t="str">
        <x:f>IF(AND('Dashboard'!$B$2-L377&gt;30,I377&lt;&gt;"Closed Won",I377&lt;&gt;"Closed Lost"),"Yes","No")</x:f>
        <x:v>No</x:v>
      </x:c>
      <x:c r="W377" t="str">
        <x:f>IF(AND(M377&lt;&gt;"",M377&lt;'Dashboard'!$B$2,I377&lt;&gt;"Closed Won",I377&lt;&gt;"Closed Lost"),"Yes","No")</x:f>
        <x:v>Yes</x:v>
      </x:c>
      <x:c r="X377" t="str">
        <x:f>IF(OR(S377="Duplicate",T377="Yes",U377="Yes",D377="Unknown",W377="Yes"),"Yes","No")</x:f>
        <x:v>Yes</x:v>
      </x:c>
      <x:c r="Y377" t="n">
        <x:f>IF(S377="Duplicate",0,1)</x:f>
        <x:v>1</x:v>
      </x:c>
    </x:row>
    <x:row r="378">
      <x:c r="A378" t="str">
        <x:v>L-0377</x:v>
      </x:c>
      <x:c r="B378" t="str">
        <x:v>Noah</x:v>
      </x:c>
      <x:c r="C378" t="str">
        <x:v>Davis</x:v>
      </x:c>
      <x:c r="D378" t="str">
        <x:v>Prairie Health</x:v>
      </x:c>
      <x:c r="E378" t="str">
        <x:v>noah.davis460@mailhub.net</x:v>
      </x:c>
      <x:c r="F378" t="str">
        <x:v>(436) 783-3052</x:v>
      </x:c>
      <x:c r="G378" t="str">
        <x:v>IL</x:v>
      </x:c>
      <x:c r="H378" t="str">
        <x:v>Website</x:v>
      </x:c>
      <x:c r="I378" t="str">
        <x:v>Qualified</x:v>
      </x:c>
      <x:c r="J378" t="str">
        <x:v>Taylor Morgan</x:v>
      </x:c>
      <x:c r="K378" s="6" t="n">
        <x:v>46227</x:v>
      </x:c>
      <x:c r="L378" s="6" t="n">
        <x:v>46238</x:v>
      </x:c>
      <x:c r="M378" s="6" t="n">
        <x:v>46261</x:v>
      </x:c>
      <x:c r="N378" s="8" t="n">
        <x:v>42400</x:v>
      </x:c>
      <x:c r="O378" t="str">
        <x:v>Professional Services</x:v>
      </x:c>
      <x:c r="P378" t="str">
        <x:v>Yes</x:v>
      </x:c>
      <x:c r="Q378" t="str">
        <x:v>No</x:v>
      </x:c>
      <x:c r="R378" s="6"/>
      <x:c r="S378" t="str">
        <x:f>IF(E378="","Unique",IF(COUNTIF($E$2:E378,E378)&gt;1,"Duplicate","Unique"))</x:f>
        <x:v>Unique</x:v>
      </x:c>
      <x:c r="T378" t="str">
        <x:f>IF(J378="Unassigned","Yes","No")</x:f>
        <x:v>No</x:v>
      </x:c>
      <x:c r="U378" t="str">
        <x:f>IF(AND(E378="",F378=""),"Yes","No")</x:f>
        <x:v>No</x:v>
      </x:c>
      <x:c r="V378" t="str">
        <x:f>IF(AND('Dashboard'!$B$2-L378&gt;30,I378&lt;&gt;"Closed Won",I378&lt;&gt;"Closed Lost"),"Yes","No")</x:f>
        <x:v>No</x:v>
      </x:c>
      <x:c r="W378" t="str">
        <x:f>IF(AND(M378&lt;&gt;"",M378&lt;'Dashboard'!$B$2,I378&lt;&gt;"Closed Won",I378&lt;&gt;"Closed Lost"),"Yes","No")</x:f>
        <x:v>No</x:v>
      </x:c>
      <x:c r="X378" t="str">
        <x:f>IF(OR(S378="Duplicate",T378="Yes",U378="Yes",D378="Unknown",W378="Yes"),"Yes","No")</x:f>
        <x:v>No</x:v>
      </x:c>
      <x:c r="Y378" t="n">
        <x:f>IF(S378="Duplicate",0,1)</x:f>
        <x:v>1</x:v>
      </x:c>
    </x:row>
    <x:row r="379">
      <x:c r="A379" t="str">
        <x:v>L-0378</x:v>
      </x:c>
      <x:c r="B379" t="str">
        <x:v>Olivia</x:v>
      </x:c>
      <x:c r="C379" t="str">
        <x:v>Garcia</x:v>
      </x:c>
      <x:c r="D379" t="str">
        <x:v>Prairie Health</x:v>
      </x:c>
      <x:c r="E379" t="str">
        <x:v>olivia.garcia854@mailhub.net</x:v>
      </x:c>
      <x:c r="F379" t="str">
        <x:v>(225) 906-3735</x:v>
      </x:c>
      <x:c r="G379" t="str">
        <x:v>CA</x:v>
      </x:c>
      <x:c r="H379" t="str">
        <x:v>Website</x:v>
      </x:c>
      <x:c r="I379" t="str">
        <x:v>Contacted</x:v>
      </x:c>
      <x:c r="J379" t="str">
        <x:v>Jordan Lee</x:v>
      </x:c>
      <x:c r="K379" s="6" t="n">
        <x:v>46105</x:v>
      </x:c>
      <x:c r="L379" s="6" t="n">
        <x:v>46225</x:v>
      </x:c>
      <x:c r="M379" s="6" t="n">
        <x:v>46231</x:v>
      </x:c>
      <x:c r="N379" s="8" t="n">
        <x:v>12900</x:v>
      </x:c>
      <x:c r="O379" t="str">
        <x:v>Healthcare</x:v>
      </x:c>
      <x:c r="P379" t="str">
        <x:v>No</x:v>
      </x:c>
      <x:c r="Q379" t="str">
        <x:v>No</x:v>
      </x:c>
      <x:c r="R379" s="6"/>
      <x:c r="S379" t="str">
        <x:f>IF(E379="","Unique",IF(COUNTIF($E$2:E379,E379)&gt;1,"Duplicate","Unique"))</x:f>
        <x:v>Unique</x:v>
      </x:c>
      <x:c r="T379" t="str">
        <x:f>IF(J379="Unassigned","Yes","No")</x:f>
        <x:v>No</x:v>
      </x:c>
      <x:c r="U379" t="str">
        <x:f>IF(AND(E379="",F379=""),"Yes","No")</x:f>
        <x:v>No</x:v>
      </x:c>
      <x:c r="V379" t="str">
        <x:f>IF(AND('Dashboard'!$B$2-L379&gt;30,I379&lt;&gt;"Closed Won",I379&lt;&gt;"Closed Lost"),"Yes","No")</x:f>
        <x:v>No</x:v>
      </x:c>
      <x:c r="W379" t="str">
        <x:f>IF(AND(M379&lt;&gt;"",M379&lt;'Dashboard'!$B$2,I379&lt;&gt;"Closed Won",I379&lt;&gt;"Closed Lost"),"Yes","No")</x:f>
        <x:v>Yes</x:v>
      </x:c>
      <x:c r="X379" t="str">
        <x:f>IF(OR(S379="Duplicate",T379="Yes",U379="Yes",D379="Unknown",W379="Yes"),"Yes","No")</x:f>
        <x:v>Yes</x:v>
      </x:c>
      <x:c r="Y379" t="n">
        <x:f>IF(S379="Duplicate",0,1)</x:f>
        <x:v>1</x:v>
      </x:c>
    </x:row>
    <x:row r="380">
      <x:c r="A380" t="str">
        <x:v>L-0379</x:v>
      </x:c>
      <x:c r="B380" t="str">
        <x:v>Liam</x:v>
      </x:c>
      <x:c r="C380" t="str">
        <x:v>Williams</x:v>
      </x:c>
      <x:c r="D380" t="str">
        <x:v>Pioneer Tech</x:v>
      </x:c>
      <x:c r="E380" t="str">
        <x:v>liam.williams188@northmail.com</x:v>
      </x:c>
      <x:c r="F380" t="str">
        <x:v>(356) 207-7060</x:v>
      </x:c>
      <x:c r="G380" t="str">
        <x:v>AZ</x:v>
      </x:c>
      <x:c r="H380" t="str">
        <x:v>LinkedIn</x:v>
      </x:c>
      <x:c r="I380" t="str">
        <x:v>Opportunity</x:v>
      </x:c>
      <x:c r="J380" t="str">
        <x:v>Jamie Brooks</x:v>
      </x:c>
      <x:c r="K380" s="6" t="n">
        <x:v>46135</x:v>
      </x:c>
      <x:c r="L380" s="6" t="n">
        <x:v>46172</x:v>
      </x:c>
      <x:c r="M380" s="6" t="n">
        <x:v>46190</x:v>
      </x:c>
      <x:c r="N380" s="8" t="n">
        <x:v>60300</x:v>
      </x:c>
      <x:c r="O380" t="str">
        <x:v>Logistics</x:v>
      </x:c>
      <x:c r="P380" t="str">
        <x:v>Yes</x:v>
      </x:c>
      <x:c r="Q380" t="str">
        <x:v>No</x:v>
      </x:c>
      <x:c r="R380" s="6"/>
      <x:c r="S380" t="str">
        <x:f>IF(E380="","Unique",IF(COUNTIF($E$2:E380,E380)&gt;1,"Duplicate","Unique"))</x:f>
        <x:v>Unique</x:v>
      </x:c>
      <x:c r="T380" t="str">
        <x:f>IF(J380="Unassigned","Yes","No")</x:f>
        <x:v>No</x:v>
      </x:c>
      <x:c r="U380" t="str">
        <x:f>IF(AND(E380="",F380=""),"Yes","No")</x:f>
        <x:v>No</x:v>
      </x:c>
      <x:c r="V380" t="str">
        <x:f>IF(AND('Dashboard'!$B$2-L380&gt;30,I380&lt;&gt;"Closed Won",I380&lt;&gt;"Closed Lost"),"Yes","No")</x:f>
        <x:v>Yes</x:v>
      </x:c>
      <x:c r="W380" t="str">
        <x:f>IF(AND(M380&lt;&gt;"",M380&lt;'Dashboard'!$B$2,I380&lt;&gt;"Closed Won",I380&lt;&gt;"Closed Lost"),"Yes","No")</x:f>
        <x:v>Yes</x:v>
      </x:c>
      <x:c r="X380" t="str">
        <x:f>IF(OR(S380="Duplicate",T380="Yes",U380="Yes",D380="Unknown",W380="Yes"),"Yes","No")</x:f>
        <x:v>Yes</x:v>
      </x:c>
      <x:c r="Y380" t="n">
        <x:f>IF(S380="Duplicate",0,1)</x:f>
        <x:v>1</x:v>
      </x:c>
    </x:row>
    <x:row r="381">
      <x:c r="A381" t="str">
        <x:v>L-0380</x:v>
      </x:c>
      <x:c r="B381" t="str">
        <x:v>Isabella</x:v>
      </x:c>
      <x:c r="C381" t="str">
        <x:v>Garcia</x:v>
      </x:c>
      <x:c r="D381" t="str">
        <x:v>Blue Ridge Supply</x:v>
      </x:c>
      <x:c r="E381" t="str">
        <x:v>isabella.garcia322@northmail.com</x:v>
      </x:c>
      <x:c r="F381" t="str">
        <x:v>(556) 491-3713</x:v>
      </x:c>
      <x:c r="G381" t="str">
        <x:v>PA</x:v>
      </x:c>
      <x:c r="H381" t="str">
        <x:v>Email Campaign</x:v>
      </x:c>
      <x:c r="I381" t="str">
        <x:v>Opportunity</x:v>
      </x:c>
      <x:c r="J381" t="str">
        <x:v>Alex Kim</x:v>
      </x:c>
      <x:c r="K381" s="6" t="n">
        <x:v>46136</x:v>
      </x:c>
      <x:c r="L381" s="6" t="n">
        <x:v>46202</x:v>
      </x:c>
      <x:c r="M381" s="6" t="n">
        <x:v>46213</x:v>
      </x:c>
      <x:c r="N381" s="8" t="n">
        <x:v>49900</x:v>
      </x:c>
      <x:c r="O381" t="str">
        <x:v>Healthcare</x:v>
      </x:c>
      <x:c r="P381" t="str">
        <x:v>Yes</x:v>
      </x:c>
      <x:c r="Q381" t="str">
        <x:v>No</x:v>
      </x:c>
      <x:c r="R381" s="6"/>
      <x:c r="S381" t="str">
        <x:f>IF(E381="","Unique",IF(COUNTIF($E$2:E381,E381)&gt;1,"Duplicate","Unique"))</x:f>
        <x:v>Unique</x:v>
      </x:c>
      <x:c r="T381" t="str">
        <x:f>IF(J381="Unassigned","Yes","No")</x:f>
        <x:v>No</x:v>
      </x:c>
      <x:c r="U381" t="str">
        <x:f>IF(AND(E381="",F381=""),"Yes","No")</x:f>
        <x:v>No</x:v>
      </x:c>
      <x:c r="V381" t="str">
        <x:f>IF(AND('Dashboard'!$B$2-L381&gt;30,I381&lt;&gt;"Closed Won",I381&lt;&gt;"Closed Lost"),"Yes","No")</x:f>
        <x:v>Yes</x:v>
      </x:c>
      <x:c r="W381" t="str">
        <x:f>IF(AND(M381&lt;&gt;"",M381&lt;'Dashboard'!$B$2,I381&lt;&gt;"Closed Won",I381&lt;&gt;"Closed Lost"),"Yes","No")</x:f>
        <x:v>Yes</x:v>
      </x:c>
      <x:c r="X381" t="str">
        <x:f>IF(OR(S381="Duplicate",T381="Yes",U381="Yes",D381="Unknown",W381="Yes"),"Yes","No")</x:f>
        <x:v>Yes</x:v>
      </x:c>
      <x:c r="Y381" t="n">
        <x:f>IF(S381="Duplicate",0,1)</x:f>
        <x:v>1</x:v>
      </x:c>
    </x:row>
    <x:row r="382">
      <x:c r="A382" t="str">
        <x:v>L-0381</x:v>
      </x:c>
      <x:c r="B382" t="str">
        <x:v>Ethan</x:v>
      </x:c>
      <x:c r="C382" t="str">
        <x:v>Smith</x:v>
      </x:c>
      <x:c r="D382" t="str">
        <x:v>Peakline Systems</x:v>
      </x:c>
      <x:c r="E382" t="str">
        <x:v>ethan.smith437@mailhub.net</x:v>
      </x:c>
      <x:c r="F382" t="str">
        <x:v>(734) 329-8435</x:v>
      </x:c>
      <x:c r="G382" t="str">
        <x:v>CO</x:v>
      </x:c>
      <x:c r="H382" t="str">
        <x:v>Webinar</x:v>
      </x:c>
      <x:c r="I382" t="str">
        <x:v>Closed Won</x:v>
      </x:c>
      <x:c r="J382" t="str">
        <x:v>Alex Kim</x:v>
      </x:c>
      <x:c r="K382" s="6" t="n">
        <x:v>46152</x:v>
      </x:c>
      <x:c r="L382" s="6" t="n">
        <x:v>46178</x:v>
      </x:c>
      <x:c r="M382" s="6"/>
      <x:c r="N382" s="8" t="n">
        <x:v>25800</x:v>
      </x:c>
      <x:c r="O382" t="str">
        <x:v>Retail</x:v>
      </x:c>
      <x:c r="P382" t="str">
        <x:v>Yes</x:v>
      </x:c>
      <x:c r="Q382" t="str">
        <x:v>Yes</x:v>
      </x:c>
      <x:c r="R382" s="6" t="n">
        <x:v>46182</x:v>
      </x:c>
      <x:c r="S382" t="str">
        <x:f>IF(E382="","Unique",IF(COUNTIF($E$2:E382,E382)&gt;1,"Duplicate","Unique"))</x:f>
        <x:v>Unique</x:v>
      </x:c>
      <x:c r="T382" t="str">
        <x:f>IF(J382="Unassigned","Yes","No")</x:f>
        <x:v>No</x:v>
      </x:c>
      <x:c r="U382" t="str">
        <x:f>IF(AND(E382="",F382=""),"Yes","No")</x:f>
        <x:v>No</x:v>
      </x:c>
      <x:c r="V382" t="str">
        <x:f>IF(AND('Dashboard'!$B$2-L382&gt;30,I382&lt;&gt;"Closed Won",I382&lt;&gt;"Closed Lost"),"Yes","No")</x:f>
        <x:v>No</x:v>
      </x:c>
      <x:c r="W382" t="str">
        <x:f>IF(AND(M382&lt;&gt;"",M382&lt;'Dashboard'!$B$2,I382&lt;&gt;"Closed Won",I382&lt;&gt;"Closed Lost"),"Yes","No")</x:f>
        <x:v>No</x:v>
      </x:c>
      <x:c r="X382" t="str">
        <x:f>IF(OR(S382="Duplicate",T382="Yes",U382="Yes",D382="Unknown",W382="Yes"),"Yes","No")</x:f>
        <x:v>No</x:v>
      </x:c>
      <x:c r="Y382" t="n">
        <x:f>IF(S382="Duplicate",0,1)</x:f>
        <x:v>1</x:v>
      </x:c>
    </x:row>
    <x:row r="383">
      <x:c r="A383" t="str">
        <x:v>L-0382</x:v>
      </x:c>
      <x:c r="B383" t="str">
        <x:v>Isabella</x:v>
      </x:c>
      <x:c r="C383" t="str">
        <x:v>Garcia</x:v>
      </x:c>
      <x:c r="D383" t="str">
        <x:v>Redstone Consulting</x:v>
      </x:c>
      <x:c r="E383" t="str">
        <x:v>isabella.garcia444@northmail.com</x:v>
      </x:c>
      <x:c r="F383" t="str">
        <x:v>(923) 733-6202</x:v>
      </x:c>
      <x:c r="G383" t="str">
        <x:v>NC</x:v>
      </x:c>
      <x:c r="H383" t="str">
        <x:v>LinkedIn</x:v>
      </x:c>
      <x:c r="I383" t="str">
        <x:v>Qualified</x:v>
      </x:c>
      <x:c r="J383" t="str">
        <x:v>Jordan Lee</x:v>
      </x:c>
      <x:c r="K383" s="6" t="n">
        <x:v>46048</x:v>
      </x:c>
      <x:c r="L383" s="6" t="n">
        <x:v>46066</x:v>
      </x:c>
      <x:c r="M383" s="6" t="n">
        <x:v>46091</x:v>
      </x:c>
      <x:c r="N383" s="8" t="n">
        <x:v>59300</x:v>
      </x:c>
      <x:c r="O383" t="str">
        <x:v>Financial Services</x:v>
      </x:c>
      <x:c r="P383" t="str">
        <x:v>Yes</x:v>
      </x:c>
      <x:c r="Q383" t="str">
        <x:v>No</x:v>
      </x:c>
      <x:c r="R383" s="6"/>
      <x:c r="S383" t="str">
        <x:f>IF(E383="","Unique",IF(COUNTIF($E$2:E383,E383)&gt;1,"Duplicate","Unique"))</x:f>
        <x:v>Unique</x:v>
      </x:c>
      <x:c r="T383" t="str">
        <x:f>IF(J383="Unassigned","Yes","No")</x:f>
        <x:v>No</x:v>
      </x:c>
      <x:c r="U383" t="str">
        <x:f>IF(AND(E383="",F383=""),"Yes","No")</x:f>
        <x:v>No</x:v>
      </x:c>
      <x:c r="V383" t="str">
        <x:f>IF(AND('Dashboard'!$B$2-L383&gt;30,I383&lt;&gt;"Closed Won",I383&lt;&gt;"Closed Lost"),"Yes","No")</x:f>
        <x:v>Yes</x:v>
      </x:c>
      <x:c r="W383" t="str">
        <x:f>IF(AND(M383&lt;&gt;"",M383&lt;'Dashboard'!$B$2,I383&lt;&gt;"Closed Won",I383&lt;&gt;"Closed Lost"),"Yes","No")</x:f>
        <x:v>Yes</x:v>
      </x:c>
      <x:c r="X383" t="str">
        <x:f>IF(OR(S383="Duplicate",T383="Yes",U383="Yes",D383="Unknown",W383="Yes"),"Yes","No")</x:f>
        <x:v>Yes</x:v>
      </x:c>
      <x:c r="Y383" t="n">
        <x:f>IF(S383="Duplicate",0,1)</x:f>
        <x:v>1</x:v>
      </x:c>
    </x:row>
    <x:row r="384">
      <x:c r="A384" t="str">
        <x:v>L-0383</x:v>
      </x:c>
      <x:c r="B384" t="str">
        <x:v>Ethan</x:v>
      </x:c>
      <x:c r="C384" t="str">
        <x:v>Jackson</x:v>
      </x:c>
      <x:c r="D384" t="str">
        <x:v>Evergreen Services</x:v>
      </x:c>
      <x:c r="E384" t="str">
        <x:v>ethan.jackson572@examplebiz.com</x:v>
      </x:c>
      <x:c r="F384" t="str">
        <x:v>(928) 382-1635</x:v>
      </x:c>
      <x:c r="G384" t="str">
        <x:v>FL</x:v>
      </x:c>
      <x:c r="H384" t="str">
        <x:v>LinkedIn</x:v>
      </x:c>
      <x:c r="I384" t="str">
        <x:v>New</x:v>
      </x:c>
      <x:c r="J384" t="str">
        <x:v>Morgan Reed</x:v>
      </x:c>
      <x:c r="K384" s="6" t="n">
        <x:v>46114</x:v>
      </x:c>
      <x:c r="L384" s="6" t="n">
        <x:v>46168</x:v>
      </x:c>
      <x:c r="M384" s="6" t="n">
        <x:v>46171</x:v>
      </x:c>
      <x:c r="N384" s="8" t="n">
        <x:v>38300</x:v>
      </x:c>
      <x:c r="O384" t="str">
        <x:v>Manufacturing</x:v>
      </x:c>
      <x:c r="P384" t="str">
        <x:v>No</x:v>
      </x:c>
      <x:c r="Q384" t="str">
        <x:v>No</x:v>
      </x:c>
      <x:c r="R384" s="6"/>
      <x:c r="S384" t="str">
        <x:f>IF(E384="","Unique",IF(COUNTIF($E$2:E384,E384)&gt;1,"Duplicate","Unique"))</x:f>
        <x:v>Unique</x:v>
      </x:c>
      <x:c r="T384" t="str">
        <x:f>IF(J384="Unassigned","Yes","No")</x:f>
        <x:v>No</x:v>
      </x:c>
      <x:c r="U384" t="str">
        <x:f>IF(AND(E384="",F384=""),"Yes","No")</x:f>
        <x:v>No</x:v>
      </x:c>
      <x:c r="V384" t="str">
        <x:f>IF(AND('Dashboard'!$B$2-L384&gt;30,I384&lt;&gt;"Closed Won",I384&lt;&gt;"Closed Lost"),"Yes","No")</x:f>
        <x:v>Yes</x:v>
      </x:c>
      <x:c r="W384" t="str">
        <x:f>IF(AND(M384&lt;&gt;"",M384&lt;'Dashboard'!$B$2,I384&lt;&gt;"Closed Won",I384&lt;&gt;"Closed Lost"),"Yes","No")</x:f>
        <x:v>Yes</x:v>
      </x:c>
      <x:c r="X384" t="str">
        <x:f>IF(OR(S384="Duplicate",T384="Yes",U384="Yes",D384="Unknown",W384="Yes"),"Yes","No")</x:f>
        <x:v>Yes</x:v>
      </x:c>
      <x:c r="Y384" t="n">
        <x:f>IF(S384="Duplicate",0,1)</x:f>
        <x:v>1</x:v>
      </x:c>
    </x:row>
    <x:row r="385">
      <x:c r="A385" t="str">
        <x:v>L-0384</x:v>
      </x:c>
      <x:c r="B385" t="str">
        <x:v>Amelia</x:v>
      </x:c>
      <x:c r="C385" t="str">
        <x:v>Thompson</x:v>
      </x:c>
      <x:c r="D385" t="str">
        <x:v>Pioneer Tech</x:v>
      </x:c>
      <x:c r="E385" t="str">
        <x:v>amelia.thompson334@examplebiz.com</x:v>
      </x:c>
      <x:c r="F385" t="str">
        <x:v>(879) 635-2897</x:v>
      </x:c>
      <x:c r="G385" t="str">
        <x:v>NY</x:v>
      </x:c>
      <x:c r="H385" t="str">
        <x:v>Website</x:v>
      </x:c>
      <x:c r="I385" t="str">
        <x:v>New</x:v>
      </x:c>
      <x:c r="J385" t="str">
        <x:v>Morgan Reed</x:v>
      </x:c>
      <x:c r="K385" s="6" t="n">
        <x:v>46053</x:v>
      </x:c>
      <x:c r="L385" s="6" t="n">
        <x:v>46248</x:v>
      </x:c>
      <x:c r="M385" s="6" t="n">
        <x:v>46260</x:v>
      </x:c>
      <x:c r="N385" s="8" t="n">
        <x:v>37100</x:v>
      </x:c>
      <x:c r="O385" t="str">
        <x:v>Logistics</x:v>
      </x:c>
      <x:c r="P385" t="str">
        <x:v>No</x:v>
      </x:c>
      <x:c r="Q385" t="str">
        <x:v>No</x:v>
      </x:c>
      <x:c r="R385" s="6"/>
      <x:c r="S385" t="str">
        <x:f>IF(E385="","Unique",IF(COUNTIF($E$2:E385,E385)&gt;1,"Duplicate","Unique"))</x:f>
        <x:v>Unique</x:v>
      </x:c>
      <x:c r="T385" t="str">
        <x:f>IF(J385="Unassigned","Yes","No")</x:f>
        <x:v>No</x:v>
      </x:c>
      <x:c r="U385" t="str">
        <x:f>IF(AND(E385="",F385=""),"Yes","No")</x:f>
        <x:v>No</x:v>
      </x:c>
      <x:c r="V385" t="str">
        <x:f>IF(AND('Dashboard'!$B$2-L385&gt;30,I385&lt;&gt;"Closed Won",I385&lt;&gt;"Closed Lost"),"Yes","No")</x:f>
        <x:v>No</x:v>
      </x:c>
      <x:c r="W385" t="str">
        <x:f>IF(AND(M385&lt;&gt;"",M385&lt;'Dashboard'!$B$2,I385&lt;&gt;"Closed Won",I385&lt;&gt;"Closed Lost"),"Yes","No")</x:f>
        <x:v>No</x:v>
      </x:c>
      <x:c r="X385" t="str">
        <x:f>IF(OR(S385="Duplicate",T385="Yes",U385="Yes",D385="Unknown",W385="Yes"),"Yes","No")</x:f>
        <x:v>No</x:v>
      </x:c>
      <x:c r="Y385" t="n">
        <x:f>IF(S385="Duplicate",0,1)</x:f>
        <x:v>1</x:v>
      </x:c>
    </x:row>
    <x:row r="386">
      <x:c r="A386" t="str">
        <x:v>L-0385</x:v>
      </x:c>
      <x:c r="B386" t="str">
        <x:v>Olivia</x:v>
      </x:c>
      <x:c r="C386" t="str">
        <x:v>Taylor</x:v>
      </x:c>
      <x:c r="D386" t="str">
        <x:v>Peakline Systems</x:v>
      </x:c>
      <x:c r="E386" t="str">
        <x:v>olivia.taylor275@mailhub.net</x:v>
      </x:c>
      <x:c r="F386" t="str">
        <x:v>(946) 424-6567</x:v>
      </x:c>
      <x:c r="G386" t="str">
        <x:v>NY</x:v>
      </x:c>
      <x:c r="H386" t="str">
        <x:v>LinkedIn</x:v>
      </x:c>
      <x:c r="I386" t="str">
        <x:v>Contacted</x:v>
      </x:c>
      <x:c r="J386" t="str">
        <x:v>Unassigned</x:v>
      </x:c>
      <x:c r="K386" s="6" t="n">
        <x:v>46039</x:v>
      </x:c>
      <x:c r="L386" s="6" t="n">
        <x:v>46152</x:v>
      </x:c>
      <x:c r="M386" s="6" t="n">
        <x:v>46168</x:v>
      </x:c>
      <x:c r="N386" s="8" t="n">
        <x:v>35400</x:v>
      </x:c>
      <x:c r="O386" t="str">
        <x:v>Biotech</x:v>
      </x:c>
      <x:c r="P386" t="str">
        <x:v>No</x:v>
      </x:c>
      <x:c r="Q386" t="str">
        <x:v>No</x:v>
      </x:c>
      <x:c r="R386" s="6"/>
      <x:c r="S386" t="str">
        <x:f>IF(E386="","Unique",IF(COUNTIF($E$2:E386,E386)&gt;1,"Duplicate","Unique"))</x:f>
        <x:v>Unique</x:v>
      </x:c>
      <x:c r="T386" t="str">
        <x:f>IF(J386="Unassigned","Yes","No")</x:f>
        <x:v>Yes</x:v>
      </x:c>
      <x:c r="U386" t="str">
        <x:f>IF(AND(E386="",F386=""),"Yes","No")</x:f>
        <x:v>No</x:v>
      </x:c>
      <x:c r="V386" t="str">
        <x:f>IF(AND('Dashboard'!$B$2-L386&gt;30,I386&lt;&gt;"Closed Won",I386&lt;&gt;"Closed Lost"),"Yes","No")</x:f>
        <x:v>Yes</x:v>
      </x:c>
      <x:c r="W386" t="str">
        <x:f>IF(AND(M386&lt;&gt;"",M386&lt;'Dashboard'!$B$2,I386&lt;&gt;"Closed Won",I386&lt;&gt;"Closed Lost"),"Yes","No")</x:f>
        <x:v>Yes</x:v>
      </x:c>
      <x:c r="X386" t="str">
        <x:f>IF(OR(S386="Duplicate",T386="Yes",U386="Yes",D386="Unknown",W386="Yes"),"Yes","No")</x:f>
        <x:v>Yes</x:v>
      </x:c>
      <x:c r="Y386" t="n">
        <x:f>IF(S386="Duplicate",0,1)</x:f>
        <x:v>1</x:v>
      </x:c>
    </x:row>
    <x:row r="387">
      <x:c r="A387" t="str">
        <x:v>L-0386</x:v>
      </x:c>
      <x:c r="B387" t="str">
        <x:v>Amelia</x:v>
      </x:c>
      <x:c r="C387" t="str">
        <x:v>Williams</x:v>
      </x:c>
      <x:c r="D387" t="str">
        <x:v>Redstone Consulting</x:v>
      </x:c>
      <x:c r="E387" t="str">
        <x:v>amelia.williams859@mailhub.net</x:v>
      </x:c>
      <x:c r="F387" t="str">
        <x:v>(936) 434-5754</x:v>
      </x:c>
      <x:c r="G387" t="str">
        <x:v>GA</x:v>
      </x:c>
      <x:c r="H387" t="str">
        <x:v>Website</x:v>
      </x:c>
      <x:c r="I387" t="str">
        <x:v>New</x:v>
      </x:c>
      <x:c r="J387" t="str">
        <x:v>Taylor Morgan</x:v>
      </x:c>
      <x:c r="K387" s="6" t="n">
        <x:v>46193</x:v>
      </x:c>
      <x:c r="L387" s="6" t="n">
        <x:v>46216</x:v>
      </x:c>
      <x:c r="M387" s="6" t="n">
        <x:v>46236</x:v>
      </x:c>
      <x:c r="N387" s="8" t="n">
        <x:v>18900</x:v>
      </x:c>
      <x:c r="O387" t="str">
        <x:v>Biotech</x:v>
      </x:c>
      <x:c r="P387" t="str">
        <x:v>No</x:v>
      </x:c>
      <x:c r="Q387" t="str">
        <x:v>No</x:v>
      </x:c>
      <x:c r="R387" s="6"/>
      <x:c r="S387" t="str">
        <x:f>IF(E387="","Unique",IF(COUNTIF($E$2:E387,E387)&gt;1,"Duplicate","Unique"))</x:f>
        <x:v>Unique</x:v>
      </x:c>
      <x:c r="T387" t="str">
        <x:f>IF(J387="Unassigned","Yes","No")</x:f>
        <x:v>No</x:v>
      </x:c>
      <x:c r="U387" t="str">
        <x:f>IF(AND(E387="",F387=""),"Yes","No")</x:f>
        <x:v>No</x:v>
      </x:c>
      <x:c r="V387" t="str">
        <x:f>IF(AND('Dashboard'!$B$2-L387&gt;30,I387&lt;&gt;"Closed Won",I387&lt;&gt;"Closed Lost"),"Yes","No")</x:f>
        <x:v>Yes</x:v>
      </x:c>
      <x:c r="W387" t="str">
        <x:f>IF(AND(M387&lt;&gt;"",M387&lt;'Dashboard'!$B$2,I387&lt;&gt;"Closed Won",I387&lt;&gt;"Closed Lost"),"Yes","No")</x:f>
        <x:v>Yes</x:v>
      </x:c>
      <x:c r="X387" t="str">
        <x:f>IF(OR(S387="Duplicate",T387="Yes",U387="Yes",D387="Unknown",W387="Yes"),"Yes","No")</x:f>
        <x:v>Yes</x:v>
      </x:c>
      <x:c r="Y387" t="n">
        <x:f>IF(S387="Duplicate",0,1)</x:f>
        <x:v>1</x:v>
      </x:c>
    </x:row>
    <x:row r="388">
      <x:c r="A388" t="str">
        <x:v>L-0387</x:v>
      </x:c>
      <x:c r="B388" t="str">
        <x:v>Lucas</x:v>
      </x:c>
      <x:c r="C388" t="str">
        <x:v>Smith</x:v>
      </x:c>
      <x:c r="D388" t="str">
        <x:v>Clearview Media</x:v>
      </x:c>
      <x:c r="E388" t="str">
        <x:v>lucas.smith898@prospect.co</x:v>
      </x:c>
      <x:c r="F388" t="str"/>
      <x:c r="G388" t="str">
        <x:v>CO</x:v>
      </x:c>
      <x:c r="H388" t="str">
        <x:v>Referral</x:v>
      </x:c>
      <x:c r="I388" t="str">
        <x:v>New</x:v>
      </x:c>
      <x:c r="J388" t="str">
        <x:v>Jamie Brooks</x:v>
      </x:c>
      <x:c r="K388" s="6" t="n">
        <x:v>46046</x:v>
      </x:c>
      <x:c r="L388" s="6" t="n">
        <x:v>46142</x:v>
      </x:c>
      <x:c r="M388" s="6" t="n">
        <x:v>46165</x:v>
      </x:c>
      <x:c r="N388" s="8" t="n">
        <x:v>35600</x:v>
      </x:c>
      <x:c r="O388" t="str">
        <x:v>Retail</x:v>
      </x:c>
      <x:c r="P388" t="str">
        <x:v>No</x:v>
      </x:c>
      <x:c r="Q388" t="str">
        <x:v>No</x:v>
      </x:c>
      <x:c r="R388" s="6"/>
      <x:c r="S388" t="str">
        <x:f>IF(E388="","Unique",IF(COUNTIF($E$2:E388,E388)&gt;1,"Duplicate","Unique"))</x:f>
        <x:v>Unique</x:v>
      </x:c>
      <x:c r="T388" t="str">
        <x:f>IF(J388="Unassigned","Yes","No")</x:f>
        <x:v>No</x:v>
      </x:c>
      <x:c r="U388" t="str">
        <x:f>IF(AND(E388="",F388=""),"Yes","No")</x:f>
        <x:v>No</x:v>
      </x:c>
      <x:c r="V388" t="str">
        <x:f>IF(AND('Dashboard'!$B$2-L388&gt;30,I388&lt;&gt;"Closed Won",I388&lt;&gt;"Closed Lost"),"Yes","No")</x:f>
        <x:v>Yes</x:v>
      </x:c>
      <x:c r="W388" t="str">
        <x:f>IF(AND(M388&lt;&gt;"",M388&lt;'Dashboard'!$B$2,I388&lt;&gt;"Closed Won",I388&lt;&gt;"Closed Lost"),"Yes","No")</x:f>
        <x:v>Yes</x:v>
      </x:c>
      <x:c r="X388" t="str">
        <x:f>IF(OR(S388="Duplicate",T388="Yes",U388="Yes",D388="Unknown",W388="Yes"),"Yes","No")</x:f>
        <x:v>Yes</x:v>
      </x:c>
      <x:c r="Y388" t="n">
        <x:f>IF(S388="Duplicate",0,1)</x:f>
        <x:v>1</x:v>
      </x:c>
    </x:row>
    <x:row r="389">
      <x:c r="A389" t="str">
        <x:v>L-0388</x:v>
      </x:c>
      <x:c r="B389" t="str">
        <x:v>Ava</x:v>
      </x:c>
      <x:c r="C389" t="str">
        <x:v>Martinez</x:v>
      </x:c>
      <x:c r="D389" t="str">
        <x:v>Horizon Bio</x:v>
      </x:c>
      <x:c r="E389" t="str">
        <x:v>ava.martinez96@examplebiz.com</x:v>
      </x:c>
      <x:c r="F389" t="str">
        <x:v>(617) 774-5563</x:v>
      </x:c>
      <x:c r="G389" t="str">
        <x:v>FL</x:v>
      </x:c>
      <x:c r="H389" t="str">
        <x:v>Website</x:v>
      </x:c>
      <x:c r="I389" t="str">
        <x:v>Closed Lost</x:v>
      </x:c>
      <x:c r="J389" t="str">
        <x:v>Morgan Reed</x:v>
      </x:c>
      <x:c r="K389" s="6" t="n">
        <x:v>46099</x:v>
      </x:c>
      <x:c r="L389" s="6" t="n">
        <x:v>46219</x:v>
      </x:c>
      <x:c r="M389" s="6"/>
      <x:c r="N389" s="8" t="n">
        <x:v>33600</x:v>
      </x:c>
      <x:c r="O389" t="str">
        <x:v>Logistics</x:v>
      </x:c>
      <x:c r="P389" t="str">
        <x:v>Yes</x:v>
      </x:c>
      <x:c r="Q389" t="str">
        <x:v>No</x:v>
      </x:c>
      <x:c r="R389" s="6" t="n">
        <x:v>46225</x:v>
      </x:c>
      <x:c r="S389" t="str">
        <x:f>IF(E389="","Unique",IF(COUNTIF($E$2:E389,E389)&gt;1,"Duplicate","Unique"))</x:f>
        <x:v>Unique</x:v>
      </x:c>
      <x:c r="T389" t="str">
        <x:f>IF(J389="Unassigned","Yes","No")</x:f>
        <x:v>No</x:v>
      </x:c>
      <x:c r="U389" t="str">
        <x:f>IF(AND(E389="",F389=""),"Yes","No")</x:f>
        <x:v>No</x:v>
      </x:c>
      <x:c r="V389" t="str">
        <x:f>IF(AND('Dashboard'!$B$2-L389&gt;30,I389&lt;&gt;"Closed Won",I389&lt;&gt;"Closed Lost"),"Yes","No")</x:f>
        <x:v>No</x:v>
      </x:c>
      <x:c r="W389" t="str">
        <x:f>IF(AND(M389&lt;&gt;"",M389&lt;'Dashboard'!$B$2,I389&lt;&gt;"Closed Won",I389&lt;&gt;"Closed Lost"),"Yes","No")</x:f>
        <x:v>No</x:v>
      </x:c>
      <x:c r="X389" t="str">
        <x:f>IF(OR(S389="Duplicate",T389="Yes",U389="Yes",D389="Unknown",W389="Yes"),"Yes","No")</x:f>
        <x:v>No</x:v>
      </x:c>
      <x:c r="Y389" t="n">
        <x:f>IF(S389="Duplicate",0,1)</x:f>
        <x:v>1</x:v>
      </x:c>
    </x:row>
    <x:row r="390">
      <x:c r="A390" t="str">
        <x:v>L-0389</x:v>
      </x:c>
      <x:c r="B390" t="str">
        <x:v>Harper</x:v>
      </x:c>
      <x:c r="C390" t="str">
        <x:v>Anderson</x:v>
      </x:c>
      <x:c r="D390" t="str">
        <x:v>Atlas Commerce</x:v>
      </x:c>
      <x:c r="E390" t="str">
        <x:v>harper.anderson886@mailhub.net</x:v>
      </x:c>
      <x:c r="F390" t="str">
        <x:v>(808) 455-2374</x:v>
      </x:c>
      <x:c r="G390" t="str">
        <x:v>OH</x:v>
      </x:c>
      <x:c r="H390" t="str">
        <x:v>Referral</x:v>
      </x:c>
      <x:c r="I390" t="str">
        <x:v>New</x:v>
      </x:c>
      <x:c r="J390" t="str">
        <x:v>Taylor Morgan</x:v>
      </x:c>
      <x:c r="K390" s="6" t="n">
        <x:v>46085</x:v>
      </x:c>
      <x:c r="L390" s="6" t="n">
        <x:v>46106</x:v>
      </x:c>
      <x:c r="M390" s="6" t="n">
        <x:v>46112</x:v>
      </x:c>
      <x:c r="N390" s="8" t="n">
        <x:v>48800</x:v>
      </x:c>
      <x:c r="O390" t="str">
        <x:v>Technology</x:v>
      </x:c>
      <x:c r="P390" t="str">
        <x:v>No</x:v>
      </x:c>
      <x:c r="Q390" t="str">
        <x:v>No</x:v>
      </x:c>
      <x:c r="R390" s="6"/>
      <x:c r="S390" t="str">
        <x:f>IF(E390="","Unique",IF(COUNTIF($E$2:E390,E390)&gt;1,"Duplicate","Unique"))</x:f>
        <x:v>Unique</x:v>
      </x:c>
      <x:c r="T390" t="str">
        <x:f>IF(J390="Unassigned","Yes","No")</x:f>
        <x:v>No</x:v>
      </x:c>
      <x:c r="U390" t="str">
        <x:f>IF(AND(E390="",F390=""),"Yes","No")</x:f>
        <x:v>No</x:v>
      </x:c>
      <x:c r="V390" t="str">
        <x:f>IF(AND('Dashboard'!$B$2-L390&gt;30,I390&lt;&gt;"Closed Won",I390&lt;&gt;"Closed Lost"),"Yes","No")</x:f>
        <x:v>Yes</x:v>
      </x:c>
      <x:c r="W390" t="str">
        <x:f>IF(AND(M390&lt;&gt;"",M390&lt;'Dashboard'!$B$2,I390&lt;&gt;"Closed Won",I390&lt;&gt;"Closed Lost"),"Yes","No")</x:f>
        <x:v>Yes</x:v>
      </x:c>
      <x:c r="X390" t="str">
        <x:f>IF(OR(S390="Duplicate",T390="Yes",U390="Yes",D390="Unknown",W390="Yes"),"Yes","No")</x:f>
        <x:v>Yes</x:v>
      </x:c>
      <x:c r="Y390" t="n">
        <x:f>IF(S390="Duplicate",0,1)</x:f>
        <x:v>1</x:v>
      </x:c>
    </x:row>
    <x:row r="391">
      <x:c r="A391" t="str">
        <x:v>L-0390</x:v>
      </x:c>
      <x:c r="B391" t="str">
        <x:v>James</x:v>
      </x:c>
      <x:c r="C391" t="str">
        <x:v>Smith</x:v>
      </x:c>
      <x:c r="D391" t="str">
        <x:v>Horizon Bio</x:v>
      </x:c>
      <x:c r="E391" t="str">
        <x:v>james.smith495@northmail.com</x:v>
      </x:c>
      <x:c r="F391" t="str">
        <x:v>(308) 635-2269</x:v>
      </x:c>
      <x:c r="G391" t="str">
        <x:v>GA</x:v>
      </x:c>
      <x:c r="H391" t="str">
        <x:v>Email Campaign</x:v>
      </x:c>
      <x:c r="I391" t="str">
        <x:v>Qualified</x:v>
      </x:c>
      <x:c r="J391" t="str">
        <x:v>Jamie Brooks</x:v>
      </x:c>
      <x:c r="K391" s="6" t="n">
        <x:v>46166</x:v>
      </x:c>
      <x:c r="L391" s="6" t="n">
        <x:v>46249</x:v>
      </x:c>
      <x:c r="M391" s="6" t="n">
        <x:v>46259</x:v>
      </x:c>
      <x:c r="N391" s="8" t="n">
        <x:v>29100</x:v>
      </x:c>
      <x:c r="O391" t="str">
        <x:v>Retail</x:v>
      </x:c>
      <x:c r="P391" t="str">
        <x:v>Yes</x:v>
      </x:c>
      <x:c r="Q391" t="str">
        <x:v>No</x:v>
      </x:c>
      <x:c r="R391" s="6"/>
      <x:c r="S391" t="str">
        <x:f>IF(E391="","Unique",IF(COUNTIF($E$2:E391,E391)&gt;1,"Duplicate","Unique"))</x:f>
        <x:v>Unique</x:v>
      </x:c>
      <x:c r="T391" t="str">
        <x:f>IF(J391="Unassigned","Yes","No")</x:f>
        <x:v>No</x:v>
      </x:c>
      <x:c r="U391" t="str">
        <x:f>IF(AND(E391="",F391=""),"Yes","No")</x:f>
        <x:v>No</x:v>
      </x:c>
      <x:c r="V391" t="str">
        <x:f>IF(AND('Dashboard'!$B$2-L391&gt;30,I391&lt;&gt;"Closed Won",I391&lt;&gt;"Closed Lost"),"Yes","No")</x:f>
        <x:v>No</x:v>
      </x:c>
      <x:c r="W391" t="str">
        <x:f>IF(AND(M391&lt;&gt;"",M391&lt;'Dashboard'!$B$2,I391&lt;&gt;"Closed Won",I391&lt;&gt;"Closed Lost"),"Yes","No")</x:f>
        <x:v>No</x:v>
      </x:c>
      <x:c r="X391" t="str">
        <x:f>IF(OR(S391="Duplicate",T391="Yes",U391="Yes",D391="Unknown",W391="Yes"),"Yes","No")</x:f>
        <x:v>No</x:v>
      </x:c>
      <x:c r="Y391" t="n">
        <x:f>IF(S391="Duplicate",0,1)</x:f>
        <x:v>1</x:v>
      </x:c>
    </x:row>
    <x:row r="392">
      <x:c r="A392" t="str">
        <x:v>L-0391</x:v>
      </x:c>
      <x:c r="B392" t="str">
        <x:v>Elijah</x:v>
      </x:c>
      <x:c r="C392" t="str">
        <x:v>Taylor</x:v>
      </x:c>
      <x:c r="D392" t="str">
        <x:v>Silverline Foods</x:v>
      </x:c>
      <x:c r="E392" t="str">
        <x:v>elijah.taylor630@prospect.co</x:v>
      </x:c>
      <x:c r="F392" t="str">
        <x:v>(778) 865-3718</x:v>
      </x:c>
      <x:c r="G392" t="str">
        <x:v>NY</x:v>
      </x:c>
      <x:c r="H392" t="str">
        <x:v>Website</x:v>
      </x:c>
      <x:c r="I392" t="str">
        <x:v>Closed Lost</x:v>
      </x:c>
      <x:c r="J392" t="str">
        <x:v>Casey Patel</x:v>
      </x:c>
      <x:c r="K392" s="6" t="n">
        <x:v>46062</x:v>
      </x:c>
      <x:c r="L392" s="6" t="n">
        <x:v>46235</x:v>
      </x:c>
      <x:c r="M392" s="6"/>
      <x:c r="N392" s="8" t="n">
        <x:v>24900</x:v>
      </x:c>
      <x:c r="O392" t="str">
        <x:v>Healthcare</x:v>
      </x:c>
      <x:c r="P392" t="str">
        <x:v>Yes</x:v>
      </x:c>
      <x:c r="Q392" t="str">
        <x:v>No</x:v>
      </x:c>
      <x:c r="R392" s="6" t="n">
        <x:v>46239</x:v>
      </x:c>
      <x:c r="S392" t="str">
        <x:f>IF(E392="","Unique",IF(COUNTIF($E$2:E392,E392)&gt;1,"Duplicate","Unique"))</x:f>
        <x:v>Unique</x:v>
      </x:c>
      <x:c r="T392" t="str">
        <x:f>IF(J392="Unassigned","Yes","No")</x:f>
        <x:v>No</x:v>
      </x:c>
      <x:c r="U392" t="str">
        <x:f>IF(AND(E392="",F392=""),"Yes","No")</x:f>
        <x:v>No</x:v>
      </x:c>
      <x:c r="V392" t="str">
        <x:f>IF(AND('Dashboard'!$B$2-L392&gt;30,I392&lt;&gt;"Closed Won",I392&lt;&gt;"Closed Lost"),"Yes","No")</x:f>
        <x:v>No</x:v>
      </x:c>
      <x:c r="W392" t="str">
        <x:f>IF(AND(M392&lt;&gt;"",M392&lt;'Dashboard'!$B$2,I392&lt;&gt;"Closed Won",I392&lt;&gt;"Closed Lost"),"Yes","No")</x:f>
        <x:v>No</x:v>
      </x:c>
      <x:c r="X392" t="str">
        <x:f>IF(OR(S392="Duplicate",T392="Yes",U392="Yes",D392="Unknown",W392="Yes"),"Yes","No")</x:f>
        <x:v>No</x:v>
      </x:c>
      <x:c r="Y392" t="n">
        <x:f>IF(S392="Duplicate",0,1)</x:f>
        <x:v>1</x:v>
      </x:c>
    </x:row>
    <x:row r="393">
      <x:c r="A393" t="str">
        <x:v>L-0392</x:v>
      </x:c>
      <x:c r="B393" t="str">
        <x:v>Benjamin</x:v>
      </x:c>
      <x:c r="C393" t="str">
        <x:v>Smith</x:v>
      </x:c>
      <x:c r="D393" t="str">
        <x:v>Redstone Consulting</x:v>
      </x:c>
      <x:c r="E393" t="str">
        <x:v>benjamin.smith97@mailhub.net</x:v>
      </x:c>
      <x:c r="F393" t="str">
        <x:v>(539) 296-2001</x:v>
      </x:c>
      <x:c r="G393" t="str">
        <x:v>CA</x:v>
      </x:c>
      <x:c r="H393" t="str">
        <x:v>Website</x:v>
      </x:c>
      <x:c r="I393" t="str">
        <x:v>New</x:v>
      </x:c>
      <x:c r="J393" t="str">
        <x:v>Jamie Brooks</x:v>
      </x:c>
      <x:c r="K393" s="6" t="n">
        <x:v>46245</x:v>
      </x:c>
      <x:c r="L393" s="6" t="n">
        <x:v>46247</x:v>
      </x:c>
      <x:c r="M393" s="6" t="n">
        <x:v>46272</x:v>
      </x:c>
      <x:c r="N393" s="8" t="n">
        <x:v>18000</x:v>
      </x:c>
      <x:c r="O393" t="str">
        <x:v>Professional Services</x:v>
      </x:c>
      <x:c r="P393" t="str">
        <x:v>No</x:v>
      </x:c>
      <x:c r="Q393" t="str">
        <x:v>No</x:v>
      </x:c>
      <x:c r="R393" s="6"/>
      <x:c r="S393" t="str">
        <x:f>IF(E393="","Unique",IF(COUNTIF($E$2:E393,E393)&gt;1,"Duplicate","Unique"))</x:f>
        <x:v>Unique</x:v>
      </x:c>
      <x:c r="T393" t="str">
        <x:f>IF(J393="Unassigned","Yes","No")</x:f>
        <x:v>No</x:v>
      </x:c>
      <x:c r="U393" t="str">
        <x:f>IF(AND(E393="",F393=""),"Yes","No")</x:f>
        <x:v>No</x:v>
      </x:c>
      <x:c r="V393" t="str">
        <x:f>IF(AND('Dashboard'!$B$2-L393&gt;30,I393&lt;&gt;"Closed Won",I393&lt;&gt;"Closed Lost"),"Yes","No")</x:f>
        <x:v>No</x:v>
      </x:c>
      <x:c r="W393" t="str">
        <x:f>IF(AND(M393&lt;&gt;"",M393&lt;'Dashboard'!$B$2,I393&lt;&gt;"Closed Won",I393&lt;&gt;"Closed Lost"),"Yes","No")</x:f>
        <x:v>No</x:v>
      </x:c>
      <x:c r="X393" t="str">
        <x:f>IF(OR(S393="Duplicate",T393="Yes",U393="Yes",D393="Unknown",W393="Yes"),"Yes","No")</x:f>
        <x:v>No</x:v>
      </x:c>
      <x:c r="Y393" t="n">
        <x:f>IF(S393="Duplicate",0,1)</x:f>
        <x:v>1</x:v>
      </x:c>
    </x:row>
    <x:row r="394">
      <x:c r="A394" t="str">
        <x:v>L-0393</x:v>
      </x:c>
      <x:c r="B394" t="str">
        <x:v>Amelia</x:v>
      </x:c>
      <x:c r="C394" t="str">
        <x:v>Rodriguez</x:v>
      </x:c>
      <x:c r="D394" t="str">
        <x:v>Apex Manufacturing</x:v>
      </x:c>
      <x:c r="E394" t="str">
        <x:v>evelyn.perez355@mailhub.net</x:v>
      </x:c>
      <x:c r="F394" t="str">
        <x:v>(539) 789-5542</x:v>
      </x:c>
      <x:c r="G394" t="str">
        <x:v>WA</x:v>
      </x:c>
      <x:c r="H394" t="str">
        <x:v>Website</x:v>
      </x:c>
      <x:c r="I394" t="str">
        <x:v>Opportunity</x:v>
      </x:c>
      <x:c r="J394" t="str">
        <x:v>Taylor Morgan</x:v>
      </x:c>
      <x:c r="K394" s="6" t="n">
        <x:v>46175</x:v>
      </x:c>
      <x:c r="L394" s="6" t="n">
        <x:v>46197</x:v>
      </x:c>
      <x:c r="M394" s="6" t="n">
        <x:v>46208</x:v>
      </x:c>
      <x:c r="N394" s="8" t="n">
        <x:v>49000</x:v>
      </x:c>
      <x:c r="O394" t="str">
        <x:v>Technology</x:v>
      </x:c>
      <x:c r="P394" t="str">
        <x:v>Yes</x:v>
      </x:c>
      <x:c r="Q394" t="str">
        <x:v>No</x:v>
      </x:c>
      <x:c r="R394" s="6"/>
      <x:c r="S394" t="str">
        <x:f>IF(E394="","Unique",IF(COUNTIF($E$2:E394,E394)&gt;1,"Duplicate","Unique"))</x:f>
        <x:v>Duplicate</x:v>
      </x:c>
      <x:c r="T394" t="str">
        <x:f>IF(J394="Unassigned","Yes","No")</x:f>
        <x:v>No</x:v>
      </x:c>
      <x:c r="U394" t="str">
        <x:f>IF(AND(E394="",F394=""),"Yes","No")</x:f>
        <x:v>No</x:v>
      </x:c>
      <x:c r="V394" t="str">
        <x:f>IF(AND('Dashboard'!$B$2-L394&gt;30,I394&lt;&gt;"Closed Won",I394&lt;&gt;"Closed Lost"),"Yes","No")</x:f>
        <x:v>Yes</x:v>
      </x:c>
      <x:c r="W394" t="str">
        <x:f>IF(AND(M394&lt;&gt;"",M394&lt;'Dashboard'!$B$2,I394&lt;&gt;"Closed Won",I394&lt;&gt;"Closed Lost"),"Yes","No")</x:f>
        <x:v>Yes</x:v>
      </x:c>
      <x:c r="X394" t="str">
        <x:f>IF(OR(S394="Duplicate",T394="Yes",U394="Yes",D394="Unknown",W394="Yes"),"Yes","No")</x:f>
        <x:v>Yes</x:v>
      </x:c>
      <x:c r="Y394" t="n">
        <x:f>IF(S394="Duplicate",0,1)</x:f>
        <x:v>0</x:v>
      </x:c>
    </x:row>
    <x:row r="395">
      <x:c r="A395" t="str">
        <x:v>L-0394</x:v>
      </x:c>
      <x:c r="B395" t="str">
        <x:v>Liam</x:v>
      </x:c>
      <x:c r="C395" t="str">
        <x:v>Jones</x:v>
      </x:c>
      <x:c r="D395" t="str">
        <x:v>Prairie Health</x:v>
      </x:c>
      <x:c r="E395" t="str">
        <x:v>liam.jones793@mailhub.net</x:v>
      </x:c>
      <x:c r="F395" t="str">
        <x:v>(924) 685-6816</x:v>
      </x:c>
      <x:c r="G395" t="str">
        <x:v>OH</x:v>
      </x:c>
      <x:c r="H395" t="str">
        <x:v>Webinar</x:v>
      </x:c>
      <x:c r="I395" t="str">
        <x:v>Contacted</x:v>
      </x:c>
      <x:c r="J395" t="str">
        <x:v>Morgan Reed</x:v>
      </x:c>
      <x:c r="K395" s="6" t="n">
        <x:v>46052</x:v>
      </x:c>
      <x:c r="L395" s="6" t="n">
        <x:v>46082</x:v>
      </x:c>
      <x:c r="M395" s="6" t="n">
        <x:v>46092</x:v>
      </x:c>
      <x:c r="N395" s="8" t="n">
        <x:v>48700</x:v>
      </x:c>
      <x:c r="O395" t="str">
        <x:v>Professional Services</x:v>
      </x:c>
      <x:c r="P395" t="str">
        <x:v>No</x:v>
      </x:c>
      <x:c r="Q395" t="str">
        <x:v>No</x:v>
      </x:c>
      <x:c r="R395" s="6"/>
      <x:c r="S395" t="str">
        <x:f>IF(E395="","Unique",IF(COUNTIF($E$2:E395,E395)&gt;1,"Duplicate","Unique"))</x:f>
        <x:v>Unique</x:v>
      </x:c>
      <x:c r="T395" t="str">
        <x:f>IF(J395="Unassigned","Yes","No")</x:f>
        <x:v>No</x:v>
      </x:c>
      <x:c r="U395" t="str">
        <x:f>IF(AND(E395="",F395=""),"Yes","No")</x:f>
        <x:v>No</x:v>
      </x:c>
      <x:c r="V395" t="str">
        <x:f>IF(AND('Dashboard'!$B$2-L395&gt;30,I395&lt;&gt;"Closed Won",I395&lt;&gt;"Closed Lost"),"Yes","No")</x:f>
        <x:v>Yes</x:v>
      </x:c>
      <x:c r="W395" t="str">
        <x:f>IF(AND(M395&lt;&gt;"",M395&lt;'Dashboard'!$B$2,I395&lt;&gt;"Closed Won",I395&lt;&gt;"Closed Lost"),"Yes","No")</x:f>
        <x:v>Yes</x:v>
      </x:c>
      <x:c r="X395" t="str">
        <x:f>IF(OR(S395="Duplicate",T395="Yes",U395="Yes",D395="Unknown",W395="Yes"),"Yes","No")</x:f>
        <x:v>Yes</x:v>
      </x:c>
      <x:c r="Y395" t="n">
        <x:f>IF(S395="Duplicate",0,1)</x:f>
        <x:v>1</x:v>
      </x:c>
    </x:row>
    <x:row r="396">
      <x:c r="A396" t="str">
        <x:v>L-0395</x:v>
      </x:c>
      <x:c r="B396" t="str">
        <x:v>Elijah</x:v>
      </x:c>
      <x:c r="C396" t="str">
        <x:v>Taylor</x:v>
      </x:c>
      <x:c r="D396" t="str">
        <x:v>Pioneer Tech</x:v>
      </x:c>
      <x:c r="E396" t="str">
        <x:v>elijah.taylor219@examplebiz.com</x:v>
      </x:c>
      <x:c r="F396" t="str">
        <x:v>(592) 583-3932</x:v>
      </x:c>
      <x:c r="G396" t="str">
        <x:v>CO</x:v>
      </x:c>
      <x:c r="H396" t="str">
        <x:v>Email Campaign</x:v>
      </x:c>
      <x:c r="I396" t="str">
        <x:v>Closed Won</x:v>
      </x:c>
      <x:c r="J396" t="str">
        <x:v>Morgan Reed</x:v>
      </x:c>
      <x:c r="K396" s="6" t="n">
        <x:v>46049</x:v>
      </x:c>
      <x:c r="L396" s="6" t="n">
        <x:v>46220</x:v>
      </x:c>
      <x:c r="M396" s="6"/>
      <x:c r="N396" s="8" t="n">
        <x:v>31000</x:v>
      </x:c>
      <x:c r="O396" t="str">
        <x:v>Manufacturing</x:v>
      </x:c>
      <x:c r="P396" t="str">
        <x:v>Yes</x:v>
      </x:c>
      <x:c r="Q396" t="str">
        <x:v>Yes</x:v>
      </x:c>
      <x:c r="R396" s="6" t="n">
        <x:v>46225</x:v>
      </x:c>
      <x:c r="S396" t="str">
        <x:f>IF(E396="","Unique",IF(COUNTIF($E$2:E396,E396)&gt;1,"Duplicate","Unique"))</x:f>
        <x:v>Unique</x:v>
      </x:c>
      <x:c r="T396" t="str">
        <x:f>IF(J396="Unassigned","Yes","No")</x:f>
        <x:v>No</x:v>
      </x:c>
      <x:c r="U396" t="str">
        <x:f>IF(AND(E396="",F396=""),"Yes","No")</x:f>
        <x:v>No</x:v>
      </x:c>
      <x:c r="V396" t="str">
        <x:f>IF(AND('Dashboard'!$B$2-L396&gt;30,I396&lt;&gt;"Closed Won",I396&lt;&gt;"Closed Lost"),"Yes","No")</x:f>
        <x:v>No</x:v>
      </x:c>
      <x:c r="W396" t="str">
        <x:f>IF(AND(M396&lt;&gt;"",M396&lt;'Dashboard'!$B$2,I396&lt;&gt;"Closed Won",I396&lt;&gt;"Closed Lost"),"Yes","No")</x:f>
        <x:v>No</x:v>
      </x:c>
      <x:c r="X396" t="str">
        <x:f>IF(OR(S396="Duplicate",T396="Yes",U396="Yes",D396="Unknown",W396="Yes"),"Yes","No")</x:f>
        <x:v>No</x:v>
      </x:c>
      <x:c r="Y396" t="n">
        <x:f>IF(S396="Duplicate",0,1)</x:f>
        <x:v>1</x:v>
      </x:c>
    </x:row>
    <x:row r="397">
      <x:c r="A397" t="str">
        <x:v>L-0396</x:v>
      </x:c>
      <x:c r="B397" t="str">
        <x:v>Amelia</x:v>
      </x:c>
      <x:c r="C397" t="str">
        <x:v>Johnson</x:v>
      </x:c>
      <x:c r="D397" t="str">
        <x:v>Horizon Bio</x:v>
      </x:c>
      <x:c r="E397" t="str"/>
      <x:c r="F397" t="str">
        <x:v>(378) 684-9938</x:v>
      </x:c>
      <x:c r="G397" t="str">
        <x:v>OH</x:v>
      </x:c>
      <x:c r="H397" t="str">
        <x:v>Website</x:v>
      </x:c>
      <x:c r="I397" t="str">
        <x:v>Qualified</x:v>
      </x:c>
      <x:c r="J397" t="str">
        <x:v>Unassigned</x:v>
      </x:c>
      <x:c r="K397" s="6" t="n">
        <x:v>46239</x:v>
      </x:c>
      <x:c r="L397" s="6" t="n">
        <x:v>46250</x:v>
      </x:c>
      <x:c r="M397" s="6" t="n">
        <x:v>46268</x:v>
      </x:c>
      <x:c r="N397" s="8" t="n">
        <x:v>84800</x:v>
      </x:c>
      <x:c r="O397" t="str">
        <x:v>Financial Services</x:v>
      </x:c>
      <x:c r="P397" t="str">
        <x:v>Yes</x:v>
      </x:c>
      <x:c r="Q397" t="str">
        <x:v>No</x:v>
      </x:c>
      <x:c r="R397" s="6"/>
      <x:c r="S397" t="str">
        <x:f>IF(E397="","Unique",IF(COUNTIF($E$2:E397,E397)&gt;1,"Duplicate","Unique"))</x:f>
        <x:v>Unique</x:v>
      </x:c>
      <x:c r="T397" t="str">
        <x:f>IF(J397="Unassigned","Yes","No")</x:f>
        <x:v>Yes</x:v>
      </x:c>
      <x:c r="U397" t="str">
        <x:f>IF(AND(E397="",F397=""),"Yes","No")</x:f>
        <x:v>No</x:v>
      </x:c>
      <x:c r="V397" t="str">
        <x:f>IF(AND('Dashboard'!$B$2-L397&gt;30,I397&lt;&gt;"Closed Won",I397&lt;&gt;"Closed Lost"),"Yes","No")</x:f>
        <x:v>No</x:v>
      </x:c>
      <x:c r="W397" t="str">
        <x:f>IF(AND(M397&lt;&gt;"",M397&lt;'Dashboard'!$B$2,I397&lt;&gt;"Closed Won",I397&lt;&gt;"Closed Lost"),"Yes","No")</x:f>
        <x:v>No</x:v>
      </x:c>
      <x:c r="X397" t="str">
        <x:f>IF(OR(S397="Duplicate",T397="Yes",U397="Yes",D397="Unknown",W397="Yes"),"Yes","No")</x:f>
        <x:v>Yes</x:v>
      </x:c>
      <x:c r="Y397" t="n">
        <x:f>IF(S397="Duplicate",0,1)</x:f>
        <x:v>1</x:v>
      </x:c>
    </x:row>
    <x:row r="398">
      <x:c r="A398" t="str">
        <x:v>L-0397</x:v>
      </x:c>
      <x:c r="B398" t="str">
        <x:v>Liam</x:v>
      </x:c>
      <x:c r="C398" t="str">
        <x:v>Wilson</x:v>
      </x:c>
      <x:c r="D398" t="str">
        <x:v>Summit Analytics</x:v>
      </x:c>
      <x:c r="E398" t="str">
        <x:v>liam.wilson928@prospect.co</x:v>
      </x:c>
      <x:c r="F398" t="str">
        <x:v>(729) 214-7605</x:v>
      </x:c>
      <x:c r="G398" t="str">
        <x:v>FL</x:v>
      </x:c>
      <x:c r="H398" t="str">
        <x:v>LinkedIn</x:v>
      </x:c>
      <x:c r="I398" t="str">
        <x:v>Opportunity</x:v>
      </x:c>
      <x:c r="J398" t="str">
        <x:v>Taylor Morgan</x:v>
      </x:c>
      <x:c r="K398" s="6" t="n">
        <x:v>46161</x:v>
      </x:c>
      <x:c r="L398" s="6" t="n">
        <x:v>46247</x:v>
      </x:c>
      <x:c r="M398" s="6" t="n">
        <x:v>46260</x:v>
      </x:c>
      <x:c r="N398" s="8" t="n">
        <x:v>76600</x:v>
      </x:c>
      <x:c r="O398" t="str">
        <x:v>Financial Services</x:v>
      </x:c>
      <x:c r="P398" t="str">
        <x:v>Yes</x:v>
      </x:c>
      <x:c r="Q398" t="str">
        <x:v>No</x:v>
      </x:c>
      <x:c r="R398" s="6"/>
      <x:c r="S398" t="str">
        <x:f>IF(E398="","Unique",IF(COUNTIF($E$2:E398,E398)&gt;1,"Duplicate","Unique"))</x:f>
        <x:v>Unique</x:v>
      </x:c>
      <x:c r="T398" t="str">
        <x:f>IF(J398="Unassigned","Yes","No")</x:f>
        <x:v>No</x:v>
      </x:c>
      <x:c r="U398" t="str">
        <x:f>IF(AND(E398="",F398=""),"Yes","No")</x:f>
        <x:v>No</x:v>
      </x:c>
      <x:c r="V398" t="str">
        <x:f>IF(AND('Dashboard'!$B$2-L398&gt;30,I398&lt;&gt;"Closed Won",I398&lt;&gt;"Closed Lost"),"Yes","No")</x:f>
        <x:v>No</x:v>
      </x:c>
      <x:c r="W398" t="str">
        <x:f>IF(AND(M398&lt;&gt;"",M398&lt;'Dashboard'!$B$2,I398&lt;&gt;"Closed Won",I398&lt;&gt;"Closed Lost"),"Yes","No")</x:f>
        <x:v>No</x:v>
      </x:c>
      <x:c r="X398" t="str">
        <x:f>IF(OR(S398="Duplicate",T398="Yes",U398="Yes",D398="Unknown",W398="Yes"),"Yes","No")</x:f>
        <x:v>No</x:v>
      </x:c>
      <x:c r="Y398" t="n">
        <x:f>IF(S398="Duplicate",0,1)</x:f>
        <x:v>1</x:v>
      </x:c>
    </x:row>
    <x:row r="399">
      <x:c r="A399" t="str">
        <x:v>L-0398</x:v>
      </x:c>
      <x:c r="B399" t="str">
        <x:v>Ava</x:v>
      </x:c>
      <x:c r="C399" t="str">
        <x:v>Martinez</x:v>
      </x:c>
      <x:c r="D399" t="str">
        <x:v>Horizon Bio</x:v>
      </x:c>
      <x:c r="E399" t="str">
        <x:v>ava.martinez120@northmail.com</x:v>
      </x:c>
      <x:c r="F399" t="str">
        <x:v>(387) 947-2415</x:v>
      </x:c>
      <x:c r="G399" t="str">
        <x:v>TX</x:v>
      </x:c>
      <x:c r="H399" t="str">
        <x:v>Referral</x:v>
      </x:c>
      <x:c r="I399" t="str">
        <x:v>Qualified</x:v>
      </x:c>
      <x:c r="J399" t="str">
        <x:v>Jordan Lee</x:v>
      </x:c>
      <x:c r="K399" s="6" t="n">
        <x:v>46068</x:v>
      </x:c>
      <x:c r="L399" s="6" t="n">
        <x:v>46090</x:v>
      </x:c>
      <x:c r="M399" s="6" t="n">
        <x:v>46111</x:v>
      </x:c>
      <x:c r="N399" s="8" t="n">
        <x:v>79200</x:v>
      </x:c>
      <x:c r="O399" t="str">
        <x:v>Biotech</x:v>
      </x:c>
      <x:c r="P399" t="str">
        <x:v>Yes</x:v>
      </x:c>
      <x:c r="Q399" t="str">
        <x:v>No</x:v>
      </x:c>
      <x:c r="R399" s="6"/>
      <x:c r="S399" t="str">
        <x:f>IF(E399="","Unique",IF(COUNTIF($E$2:E399,E399)&gt;1,"Duplicate","Unique"))</x:f>
        <x:v>Unique</x:v>
      </x:c>
      <x:c r="T399" t="str">
        <x:f>IF(J399="Unassigned","Yes","No")</x:f>
        <x:v>No</x:v>
      </x:c>
      <x:c r="U399" t="str">
        <x:f>IF(AND(E399="",F399=""),"Yes","No")</x:f>
        <x:v>No</x:v>
      </x:c>
      <x:c r="V399" t="str">
        <x:f>IF(AND('Dashboard'!$B$2-L399&gt;30,I399&lt;&gt;"Closed Won",I399&lt;&gt;"Closed Lost"),"Yes","No")</x:f>
        <x:v>Yes</x:v>
      </x:c>
      <x:c r="W399" t="str">
        <x:f>IF(AND(M399&lt;&gt;"",M399&lt;'Dashboard'!$B$2,I399&lt;&gt;"Closed Won",I399&lt;&gt;"Closed Lost"),"Yes","No")</x:f>
        <x:v>Yes</x:v>
      </x:c>
      <x:c r="X399" t="str">
        <x:f>IF(OR(S399="Duplicate",T399="Yes",U399="Yes",D399="Unknown",W399="Yes"),"Yes","No")</x:f>
        <x:v>Yes</x:v>
      </x:c>
      <x:c r="Y399" t="n">
        <x:f>IF(S399="Duplicate",0,1)</x:f>
        <x:v>1</x:v>
      </x:c>
    </x:row>
    <x:row r="400">
      <x:c r="A400" t="str">
        <x:v>L-0399</x:v>
      </x:c>
      <x:c r="B400" t="str">
        <x:v>Amelia</x:v>
      </x:c>
      <x:c r="C400" t="str">
        <x:v>Martinez</x:v>
      </x:c>
      <x:c r="D400" t="str">
        <x:v>Cedarworks</x:v>
      </x:c>
      <x:c r="E400" t="str">
        <x:v>amelia.martinez303@prospect.co</x:v>
      </x:c>
      <x:c r="F400" t="str">
        <x:v>(915) 650-5334</x:v>
      </x:c>
      <x:c r="G400" t="str">
        <x:v>CA</x:v>
      </x:c>
      <x:c r="H400" t="str">
        <x:v>Trade Show</x:v>
      </x:c>
      <x:c r="I400" t="str">
        <x:v>Contacted</x:v>
      </x:c>
      <x:c r="J400" t="str">
        <x:v>Taylor Morgan</x:v>
      </x:c>
      <x:c r="K400" s="6" t="n">
        <x:v>46033</x:v>
      </x:c>
      <x:c r="L400" s="6" t="n">
        <x:v>46081</x:v>
      </x:c>
      <x:c r="M400" s="6" t="n">
        <x:v>46092</x:v>
      </x:c>
      <x:c r="N400" s="8" t="n">
        <x:v>75400</x:v>
      </x:c>
      <x:c r="O400" t="str">
        <x:v>Financial Services</x:v>
      </x:c>
      <x:c r="P400" t="str">
        <x:v>No</x:v>
      </x:c>
      <x:c r="Q400" t="str">
        <x:v>No</x:v>
      </x:c>
      <x:c r="R400" s="6"/>
      <x:c r="S400" t="str">
        <x:f>IF(E400="","Unique",IF(COUNTIF($E$2:E400,E400)&gt;1,"Duplicate","Unique"))</x:f>
        <x:v>Unique</x:v>
      </x:c>
      <x:c r="T400" t="str">
        <x:f>IF(J400="Unassigned","Yes","No")</x:f>
        <x:v>No</x:v>
      </x:c>
      <x:c r="U400" t="str">
        <x:f>IF(AND(E400="",F400=""),"Yes","No")</x:f>
        <x:v>No</x:v>
      </x:c>
      <x:c r="V400" t="str">
        <x:f>IF(AND('Dashboard'!$B$2-L400&gt;30,I400&lt;&gt;"Closed Won",I400&lt;&gt;"Closed Lost"),"Yes","No")</x:f>
        <x:v>Yes</x:v>
      </x:c>
      <x:c r="W400" t="str">
        <x:f>IF(AND(M400&lt;&gt;"",M400&lt;'Dashboard'!$B$2,I400&lt;&gt;"Closed Won",I400&lt;&gt;"Closed Lost"),"Yes","No")</x:f>
        <x:v>Yes</x:v>
      </x:c>
      <x:c r="X400" t="str">
        <x:f>IF(OR(S400="Duplicate",T400="Yes",U400="Yes",D400="Unknown",W400="Yes"),"Yes","No")</x:f>
        <x:v>Yes</x:v>
      </x:c>
      <x:c r="Y400" t="n">
        <x:f>IF(S400="Duplicate",0,1)</x:f>
        <x:v>1</x:v>
      </x:c>
    </x:row>
    <x:row r="401">
      <x:c r="A401" t="str">
        <x:v>L-0400</x:v>
      </x:c>
      <x:c r="B401" t="str">
        <x:v>Lucas</x:v>
      </x:c>
      <x:c r="C401" t="str">
        <x:v>Miller</x:v>
      </x:c>
      <x:c r="D401" t="str">
        <x:v>Redstone Consulting</x:v>
      </x:c>
      <x:c r="E401" t="str">
        <x:v>lucas.miller530@examplebiz.com</x:v>
      </x:c>
      <x:c r="F401" t="str">
        <x:v>(687) 343-8655</x:v>
      </x:c>
      <x:c r="G401" t="str">
        <x:v>TX</x:v>
      </x:c>
      <x:c r="H401" t="str">
        <x:v>Webinar</x:v>
      </x:c>
      <x:c r="I401" t="str">
        <x:v>Contacted</x:v>
      </x:c>
      <x:c r="J401" t="str">
        <x:v>Jordan Lee</x:v>
      </x:c>
      <x:c r="K401" s="6" t="n">
        <x:v>46191</x:v>
      </x:c>
      <x:c r="L401" s="6" t="n">
        <x:v>46220</x:v>
      </x:c>
      <x:c r="M401" s="6" t="n">
        <x:v>46231</x:v>
      </x:c>
      <x:c r="N401" s="8" t="n">
        <x:v>5100</x:v>
      </x:c>
      <x:c r="O401" t="str">
        <x:v>Financial Services</x:v>
      </x:c>
      <x:c r="P401" t="str">
        <x:v>No</x:v>
      </x:c>
      <x:c r="Q401" t="str">
        <x:v>No</x:v>
      </x:c>
      <x:c r="R401" s="6"/>
      <x:c r="S401" t="str">
        <x:f>IF(E401="","Unique",IF(COUNTIF($E$2:E401,E401)&gt;1,"Duplicate","Unique"))</x:f>
        <x:v>Unique</x:v>
      </x:c>
      <x:c r="T401" t="str">
        <x:f>IF(J401="Unassigned","Yes","No")</x:f>
        <x:v>No</x:v>
      </x:c>
      <x:c r="U401" t="str">
        <x:f>IF(AND(E401="",F401=""),"Yes","No")</x:f>
        <x:v>No</x:v>
      </x:c>
      <x:c r="V401" t="str">
        <x:f>IF(AND('Dashboard'!$B$2-L401&gt;30,I401&lt;&gt;"Closed Won",I401&lt;&gt;"Closed Lost"),"Yes","No")</x:f>
        <x:v>Yes</x:v>
      </x:c>
      <x:c r="W401" t="str">
        <x:f>IF(AND(M401&lt;&gt;"",M401&lt;'Dashboard'!$B$2,I401&lt;&gt;"Closed Won",I401&lt;&gt;"Closed Lost"),"Yes","No")</x:f>
        <x:v>Yes</x:v>
      </x:c>
      <x:c r="X401" t="str">
        <x:f>IF(OR(S401="Duplicate",T401="Yes",U401="Yes",D401="Unknown",W401="Yes"),"Yes","No")</x:f>
        <x:v>Yes</x:v>
      </x:c>
      <x:c r="Y401" t="n">
        <x:f>IF(S401="Duplicate",0,1)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3c2298560d248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15" t="str">
        <x:v>CRM Data Quality &amp; Sales Pipeline Dashboard</x:v>
      </x:c>
      <x:c r="B1" s="15"/>
      <x:c r="C1" s="15"/>
      <x:c r="D1" s="15"/>
      <x:c r="E1" s="15"/>
      <x:c r="F1" s="15"/>
      <x:c r="G1" s="15"/>
      <x:c r="H1" s="15"/>
    </x:row>
    <x:row r="2">
      <x:c r="A2" t="str">
        <x:v>Snapshot Date</x:v>
      </x:c>
      <x:c r="B2" s="6" t="n">
        <x:v>46251</x:v>
      </x:c>
    </x:row>
    <x:row r="4">
      <x:c r="B4" s="20" t="str">
        <x:v>Total Leads</x:v>
      </x:c>
      <x:c r="C4" s="20" t="str">
        <x:v>Qualified</x:v>
      </x:c>
      <x:c r="D4" s="20" t="str">
        <x:v>Closed Won</x:v>
      </x:c>
      <x:c r="E4" s="20" t="str">
        <x:v>Conversion Rate</x:v>
      </x:c>
      <x:c r="F4" s="20" t="str">
        <x:v>Pipeline Value</x:v>
      </x:c>
      <x:c r="G4" s="20" t="str">
        <x:v>Quality Issues</x:v>
      </x:c>
    </x:row>
    <x:row r="5">
      <x:c r="B5" s="20" t="n">
        <x:f>SUM('Cleaned CRM Data'!Y2:Y401)</x:f>
        <x:v>380</x:v>
      </x:c>
      <x:c r="C5" s="20" t="n">
        <x:f>COUNTIFS('Cleaned CRM Data'!P2:P401,"Yes",'Cleaned CRM Data'!Y2:Y401,1)</x:f>
        <x:v>227</x:v>
      </x:c>
      <x:c r="D5" s="20" t="n">
        <x:f>COUNTIFS('Cleaned CRM Data'!Q2:Q401,"Yes",'Cleaned CRM Data'!Y2:Y401,1)</x:f>
        <x:v>52</x:v>
      </x:c>
      <x:c r="E5" s="24" t="n">
        <x:f>IF(B5=0,0,D5/B5)</x:f>
        <x:v>0.1368421052631579</x:v>
      </x:c>
      <x:c r="F5" s="26" t="n">
        <x:f>SUMIFS('Cleaned CRM Data'!N2:N401,'Cleaned CRM Data'!Y2:Y401,1,'Cleaned CRM Data'!I2:I401,"&lt;&gt;Closed Won",'Cleaned CRM Data'!I2:I401,"&lt;&gt;Closed Lost")</x:f>
        <x:v>12837300</x:v>
      </x:c>
      <x:c r="G5" s="20" t="n">
        <x:f>COUNTIF('Cleaned CRM Data'!X2:X401,"Yes")</x:f>
        <x:v>259</x:v>
      </x:c>
    </x:row>
    <x:row r="8">
      <x:c r="A8" s="11" t="str">
        <x:v>Lead Source</x:v>
      </x:c>
      <x:c r="B8" s="11" t="str">
        <x:v>Leads</x:v>
      </x:c>
      <x:c r="D8" s="11" t="str">
        <x:v>Sales Stage</x:v>
      </x:c>
      <x:c r="E8" s="11" t="str">
        <x:v>Leads</x:v>
      </x:c>
      <x:c r="G8" s="11" t="str">
        <x:v>Quality Issue</x:v>
      </x:c>
      <x:c r="H8" s="11" t="str">
        <x:v>Records</x:v>
      </x:c>
    </x:row>
    <x:row r="9">
      <x:c r="A9" t="str">
        <x:v>Website</x:v>
      </x:c>
      <x:c r="B9" t="n">
        <x:f>COUNTIFS('Cleaned CRM Data'!H2:H401,A9,'Cleaned CRM Data'!Y2:Y401,1)</x:f>
        <x:v>91</x:v>
      </x:c>
      <x:c r="D9" t="str">
        <x:v>New</x:v>
      </x:c>
      <x:c r="E9" t="n">
        <x:f>COUNTIFS('Cleaned CRM Data'!I2:I401,D9,'Cleaned CRM Data'!Y2:Y401,1)</x:f>
        <x:v>76</x:v>
      </x:c>
      <x:c r="G9" t="str">
        <x:v>Duplicate Records</x:v>
      </x:c>
      <x:c r="H9" t="n">
        <x:f>COUNTIF('Cleaned CRM Data'!S2:S401,"Duplicate")</x:f>
        <x:v>20</x:v>
      </x:c>
    </x:row>
    <x:row r="10">
      <x:c r="A10" t="str">
        <x:v>Referral</x:v>
      </x:c>
      <x:c r="B10" t="n">
        <x:f>COUNTIFS('Cleaned CRM Data'!H2:H401,A10,'Cleaned CRM Data'!Y2:Y401,1)</x:f>
        <x:v>64</x:v>
      </x:c>
      <x:c r="D10" t="str">
        <x:v>Contacted</x:v>
      </x:c>
      <x:c r="E10" t="n">
        <x:f>COUNTIFS('Cleaned CRM Data'!I2:I401,D10,'Cleaned CRM Data'!Y2:Y401,1)</x:f>
        <x:v>77</x:v>
      </x:c>
      <x:c r="G10" t="str">
        <x:v>Missing Owner</x:v>
      </x:c>
      <x:c r="H10" t="n">
        <x:f>COUNTIF('Cleaned CRM Data'!T2:T401,"Yes")</x:f>
        <x:v>23</x:v>
      </x:c>
    </x:row>
    <x:row r="11">
      <x:c r="A11" t="str">
        <x:v>Webinar</x:v>
      </x:c>
      <x:c r="B11" t="n">
        <x:f>COUNTIFS('Cleaned CRM Data'!H2:H401,A11,'Cleaned CRM Data'!Y2:Y401,1)</x:f>
        <x:v>53</x:v>
      </x:c>
      <x:c r="D11" t="str">
        <x:v>Qualified</x:v>
      </x:c>
      <x:c r="E11" t="n">
        <x:f>COUNTIFS('Cleaned CRM Data'!I2:I401,D11,'Cleaned CRM Data'!Y2:Y401,1)</x:f>
        <x:v>72</x:v>
      </x:c>
      <x:c r="G11" t="str">
        <x:v>Missing Contact Info</x:v>
      </x:c>
      <x:c r="H11" t="n">
        <x:f>COUNTIF('Cleaned CRM Data'!U2:U401,"Yes")</x:f>
        <x:v>1</x:v>
      </x:c>
    </x:row>
    <x:row r="12">
      <x:c r="A12" t="str">
        <x:v>Trade Show</x:v>
      </x:c>
      <x:c r="B12" t="n">
        <x:f>COUNTIFS('Cleaned CRM Data'!H2:H401,A12,'Cleaned CRM Data'!Y2:Y401,1)</x:f>
        <x:v>38</x:v>
      </x:c>
      <x:c r="D12" t="str">
        <x:v>Opportunity</x:v>
      </x:c>
      <x:c r="E12" t="n">
        <x:f>COUNTIFS('Cleaned CRM Data'!I2:I401,D12,'Cleaned CRM Data'!Y2:Y401,1)</x:f>
        <x:v>65</x:v>
      </x:c>
      <x:c r="G12" t="str">
        <x:v>Missing Company</x:v>
      </x:c>
      <x:c r="H12" t="n">
        <x:f>COUNTIF('Cleaned CRM Data'!D2:D401,"Unknown")</x:f>
        <x:v>29</x:v>
      </x:c>
    </x:row>
    <x:row r="13">
      <x:c r="A13" t="str">
        <x:v>LinkedIn</x:v>
      </x:c>
      <x:c r="B13" t="n">
        <x:f>COUNTIFS('Cleaned CRM Data'!H2:H401,A13,'Cleaned CRM Data'!Y2:Y401,1)</x:f>
        <x:v>50</x:v>
      </x:c>
      <x:c r="D13" t="str">
        <x:v>Closed Won</x:v>
      </x:c>
      <x:c r="E13" t="n">
        <x:f>COUNTIFS('Cleaned CRM Data'!I2:I401,D13,'Cleaned CRM Data'!Y2:Y401,1)</x:f>
        <x:v>52</x:v>
      </x:c>
      <x:c r="G13" t="str">
        <x:v>Overdue Follow-Up</x:v>
      </x:c>
      <x:c r="H13" t="n">
        <x:f>COUNTIF('Cleaned CRM Data'!W2:W401,"Yes")</x:f>
        <x:v>230</x:v>
      </x:c>
    </x:row>
    <x:row r="14">
      <x:c r="A14" t="str">
        <x:v>Email Campaign</x:v>
      </x:c>
      <x:c r="B14" t="n">
        <x:f>COUNTIFS('Cleaned CRM Data'!H2:H401,A14,'Cleaned CRM Data'!Y2:Y401,1)</x:f>
        <x:v>46</x:v>
      </x:c>
      <x:c r="D14" t="str">
        <x:v>Closed Lost</x:v>
      </x:c>
      <x:c r="E14" t="n">
        <x:f>COUNTIFS('Cleaned CRM Data'!I2:I401,D14,'Cleaned CRM Data'!Y2:Y401,1)</x:f>
        <x:v>38</x:v>
      </x:c>
      <x:c r="G14" t="str">
        <x:v>Stale Lead</x:v>
      </x:c>
      <x:c r="H14" t="n">
        <x:f>COUNTIF('Cleaned CRM Data'!V2:V401,"Yes")</x:f>
        <x:v>180</x:v>
      </x:c>
    </x:row>
    <x:row r="15">
      <x:c r="A15" t="str">
        <x:v>Outbound</x:v>
      </x:c>
      <x:c r="B15" t="n">
        <x:f>COUNTIFS('Cleaned CRM Data'!H2:H401,A15,'Cleaned CRM Data'!Y2:Y401,1)</x:f>
        <x:v>38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042ea1bdbe84097"/>
</x:worksheet>
</file>

<file path=xl/worksheets/sheet4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55" hidden="0" customWidth="1"/>
  </x:cols>
  <x:sheetData>
    <x:row r="1">
      <x:c r="A1" s="28" t="str">
        <x:v>Field</x:v>
      </x:c>
      <x:c r="B1" s="28" t="str">
        <x:v>Description</x:v>
      </x:c>
    </x:row>
    <x:row r="2">
      <x:c r="A2" t="str">
        <x:v>Lead_ID</x:v>
      </x:c>
      <x:c r="B2" t="str">
        <x:v>Unique CRM lead identifier</x:v>
      </x:c>
    </x:row>
    <x:row r="3">
      <x:c r="A3" t="str">
        <x:v>Lead_Source</x:v>
      </x:c>
      <x:c r="B3" t="str">
        <x:v>Acquisition channel</x:v>
      </x:c>
    </x:row>
    <x:row r="4">
      <x:c r="A4" t="str">
        <x:v>Sales_Stage</x:v>
      </x:c>
      <x:c r="B4" t="str">
        <x:v>Current pipeline stage</x:v>
      </x:c>
    </x:row>
    <x:row r="5">
      <x:c r="A5" t="str">
        <x:v>Lead_Owner</x:v>
      </x:c>
      <x:c r="B5" t="str">
        <x:v>Assigned sales representative</x:v>
      </x:c>
    </x:row>
    <x:row r="6">
      <x:c r="A6" t="str">
        <x:v>Estimated_Value</x:v>
      </x:c>
      <x:c r="B6" t="str">
        <x:v>Estimated potential revenue</x:v>
      </x:c>
    </x:row>
    <x:row r="7">
      <x:c r="A7" t="str">
        <x:v>Qualified</x:v>
      </x:c>
      <x:c r="B7" t="str">
        <x:v>Whether the lead reaches a qualified stage</x:v>
      </x:c>
    </x:row>
    <x:row r="8">
      <x:c r="A8" t="str">
        <x:v>Converted</x:v>
      </x:c>
      <x:c r="B8" t="str">
        <x:v>Whether the lead closes as won</x:v>
      </x:c>
    </x:row>
    <x:row r="9">
      <x:c r="A9" t="str">
        <x:v>Duplicate_Flag</x:v>
      </x:c>
      <x:c r="B9" t="str">
        <x:v>Flags repeated nonblank email addresses after the first occurrence</x:v>
      </x:c>
    </x:row>
    <x:row r="10">
      <x:c r="A10" t="str">
        <x:v>Missing_Owner</x:v>
      </x:c>
      <x:c r="B10" t="str">
        <x:v>Flags leads with no assigned owner</x:v>
      </x:c>
    </x:row>
    <x:row r="11">
      <x:c r="A11" t="str">
        <x:v>Missing_Contact_Info</x:v>
      </x:c>
      <x:c r="B11" t="str">
        <x:v>Flags leads missing both email and phone</x:v>
      </x:c>
    </x:row>
    <x:row r="12">
      <x:c r="A12" t="str">
        <x:v>Stale_Lead</x:v>
      </x:c>
      <x:c r="B12" t="str">
        <x:v>Flags open leads with no contact for more than 30 days</x:v>
      </x:c>
    </x:row>
    <x:row r="13">
      <x:c r="A13" t="str">
        <x:v>Overdue_Followup</x:v>
      </x:c>
      <x:c r="B13" t="str">
        <x:v>Flags open leads whose follow-up date has passed</x:v>
      </x:c>
    </x:row>
    <x:row r="14">
      <x:c r="A14" t="str">
        <x:v>Data_Quality_Issue</x:v>
      </x:c>
      <x:c r="B14" t="str">
        <x:v>Flags records with at least one defined CRM quality issue</x:v>
      </x:c>
    </x:row>
    <x:row r="15">
      <x:c r="A15" t="str">
        <x:v>Primary_Record</x:v>
      </x:c>
      <x:c r="B15" t="str">
        <x:v>1 for first/unique record; 0 for later duplicate-email records</x:v>
      </x:c>
    </x:row>
  </x:sheetData>
  <x:pageMargins left="0.7" right="0.7" top="0.75" bottom="0.75" header="0.3" footer="0.3"/>
</x:worksheet>
</file>